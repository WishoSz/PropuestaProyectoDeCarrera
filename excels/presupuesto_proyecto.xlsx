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OCTAVO SEMESTRE\Redaccion\PropuestaProyectoDeCarrera\excels\"/>
    </mc:Choice>
  </mc:AlternateContent>
  <xr:revisionPtr revIDLastSave="0" documentId="13_ncr:1_{A836E9B1-E9FF-4B91-A4DF-F6CADA578C1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esupues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C14" i="1"/>
  <c r="C15" i="1" s="1"/>
  <c r="C17" i="1" l="1"/>
</calcChain>
</file>

<file path=xl/sharedStrings.xml><?xml version="1.0" encoding="utf-8"?>
<sst xmlns="http://schemas.openxmlformats.org/spreadsheetml/2006/main" count="42" uniqueCount="38">
  <si>
    <t>PRESUPUESTO ESTIMADO DEL PROYECTO</t>
  </si>
  <si>
    <t>Sistema Web para Gestión de Vacunas — Dpto. San Marcos | Universidad Mesoamericana 2026</t>
  </si>
  <si>
    <t>Producto / Recurso</t>
  </si>
  <si>
    <t>Cantidad / Unidad</t>
  </si>
  <si>
    <t>Estimación (GTQ)</t>
  </si>
  <si>
    <t>Supuestos, notas y financiamiento</t>
  </si>
  <si>
    <t>Dominio web</t>
  </si>
  <si>
    <t>1 año</t>
  </si>
  <si>
    <t>Nombre del sitio para acceder al sistema.</t>
  </si>
  <si>
    <t>Alojamiento web o servidor en la nube</t>
  </si>
  <si>
    <t>Estimación para fase inicial de pruebas e implementación.</t>
  </si>
  <si>
    <t>Certificado SSL</t>
  </si>
  <si>
    <t>1 unidad</t>
  </si>
  <si>
    <t>Puede utilizarse una opción gratuita.</t>
  </si>
  <si>
    <t>Base de datos</t>
  </si>
  <si>
    <t>Incluida</t>
  </si>
  <si>
    <t>Se considera incluida en el servidor o mediante software libre.</t>
  </si>
  <si>
    <t>Herramientas de desarrollo</t>
  </si>
  <si>
    <t>Global</t>
  </si>
  <si>
    <t>Uso de herramientas gratuitas o académicas.</t>
  </si>
  <si>
    <t>Diseño de interfaz y prototipos</t>
  </si>
  <si>
    <t>Realizado por el equipo de proyecto.</t>
  </si>
  <si>
    <t>Material de capacitación</t>
  </si>
  <si>
    <t>Guías impresas o material de apoyo para usuarios.</t>
  </si>
  <si>
    <t>Transporte y validación con usuarios</t>
  </si>
  <si>
    <t>Visitas de levantamiento, revisión o pruebas.</t>
  </si>
  <si>
    <t>Documentación técnica y manual de usuario</t>
  </si>
  <si>
    <t>Impresiones o preparación de documentos finales.</t>
  </si>
  <si>
    <t>Recurso humano de desarrollo</t>
  </si>
  <si>
    <t>Subtotal (sin contingencia)</t>
  </si>
  <si>
    <t>Contingencia</t>
  </si>
  <si>
    <t>Margen para variaciones menores de costo. El porcentaje es editable en fórmula.</t>
  </si>
  <si>
    <t>COSTO TOTAL ESTIMADO DEL PROYECTO</t>
  </si>
  <si>
    <t>Estimación base para implementación inicial.</t>
  </si>
  <si>
    <t>2 años</t>
  </si>
  <si>
    <t>108 hrs × 4 integrantes</t>
  </si>
  <si>
    <t>Donación académica del equipo. Tarifa de referencia Q100/hr por persona.</t>
  </si>
  <si>
    <t>15% aproximado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</si>
</sst>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Q#,##0.00;&quot;(Q&quot;#,##0.00\);\-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A8"/>
        <bgColor rgb="FF3366FF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D9E1F2"/>
        <b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6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660066"/>
      <rgbColor rgb="FFFF8080"/>
      <rgbColor rgb="FF2E5EA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90" zoomScaleNormal="90" workbookViewId="0">
      <selection activeCell="G11" sqref="G11"/>
    </sheetView>
  </sheetViews>
  <sheetFormatPr baseColWidth="10" defaultColWidth="8.6640625" defaultRowHeight="14.4" x14ac:dyDescent="0.3"/>
  <cols>
    <col min="1" max="1" width="40" customWidth="1"/>
    <col min="2" max="2" width="19.109375" customWidth="1"/>
    <col min="3" max="3" width="20" customWidth="1"/>
    <col min="4" max="4" width="50" customWidth="1"/>
  </cols>
  <sheetData>
    <row r="1" spans="1:4" ht="31.5" customHeight="1" x14ac:dyDescent="0.3">
      <c r="A1" s="16" t="s">
        <v>0</v>
      </c>
      <c r="B1" s="16"/>
      <c r="C1" s="16"/>
      <c r="D1" s="16"/>
    </row>
    <row r="2" spans="1:4" ht="18" customHeight="1" x14ac:dyDescent="0.3">
      <c r="A2" s="17" t="s">
        <v>1</v>
      </c>
      <c r="B2" s="17"/>
      <c r="C2" s="17"/>
      <c r="D2" s="17"/>
    </row>
    <row r="3" spans="1:4" ht="7.5" customHeight="1" x14ac:dyDescent="0.3"/>
    <row r="4" spans="1:4" ht="25.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 t="s">
        <v>6</v>
      </c>
      <c r="B5" s="3" t="s">
        <v>34</v>
      </c>
      <c r="C5" s="10">
        <v>240</v>
      </c>
      <c r="D5" s="2" t="s">
        <v>8</v>
      </c>
    </row>
    <row r="6" spans="1:4" x14ac:dyDescent="0.3">
      <c r="A6" s="4" t="s">
        <v>9</v>
      </c>
      <c r="B6" s="5" t="s">
        <v>7</v>
      </c>
      <c r="C6" s="11">
        <v>1200</v>
      </c>
      <c r="D6" s="4" t="s">
        <v>10</v>
      </c>
    </row>
    <row r="7" spans="1:4" x14ac:dyDescent="0.3">
      <c r="A7" s="2" t="s">
        <v>11</v>
      </c>
      <c r="B7" s="3" t="s">
        <v>12</v>
      </c>
      <c r="C7" s="10">
        <v>0</v>
      </c>
      <c r="D7" s="2" t="s">
        <v>13</v>
      </c>
    </row>
    <row r="8" spans="1:4" ht="26.4" x14ac:dyDescent="0.3">
      <c r="A8" s="4" t="s">
        <v>14</v>
      </c>
      <c r="B8" s="5" t="s">
        <v>15</v>
      </c>
      <c r="C8" s="11">
        <v>0</v>
      </c>
      <c r="D8" s="4" t="s">
        <v>16</v>
      </c>
    </row>
    <row r="9" spans="1:4" ht="30" customHeight="1" x14ac:dyDescent="0.3">
      <c r="A9" s="2" t="s">
        <v>17</v>
      </c>
      <c r="B9" s="3" t="s">
        <v>18</v>
      </c>
      <c r="C9" s="10">
        <v>0</v>
      </c>
      <c r="D9" s="2" t="s">
        <v>19</v>
      </c>
    </row>
    <row r="10" spans="1:4" ht="30" customHeight="1" x14ac:dyDescent="0.3">
      <c r="A10" s="4" t="s">
        <v>20</v>
      </c>
      <c r="B10" s="5" t="s">
        <v>18</v>
      </c>
      <c r="C10" s="11">
        <v>0</v>
      </c>
      <c r="D10" s="4" t="s">
        <v>21</v>
      </c>
    </row>
    <row r="11" spans="1:4" ht="30" customHeight="1" x14ac:dyDescent="0.3">
      <c r="A11" s="2" t="s">
        <v>22</v>
      </c>
      <c r="B11" s="3" t="s">
        <v>18</v>
      </c>
      <c r="C11" s="10">
        <v>150</v>
      </c>
      <c r="D11" s="2" t="s">
        <v>23</v>
      </c>
    </row>
    <row r="12" spans="1:4" ht="30" customHeight="1" x14ac:dyDescent="0.3">
      <c r="A12" s="4" t="s">
        <v>24</v>
      </c>
      <c r="B12" s="5" t="s">
        <v>18</v>
      </c>
      <c r="C12" s="11">
        <v>300</v>
      </c>
      <c r="D12" s="4" t="s">
        <v>25</v>
      </c>
    </row>
    <row r="13" spans="1:4" ht="30" customHeight="1" x14ac:dyDescent="0.3">
      <c r="A13" s="2" t="s">
        <v>26</v>
      </c>
      <c r="B13" s="3" t="s">
        <v>18</v>
      </c>
      <c r="C13" s="10">
        <v>100</v>
      </c>
      <c r="D13" s="2" t="s">
        <v>27</v>
      </c>
    </row>
    <row r="14" spans="1:4" ht="30" customHeight="1" x14ac:dyDescent="0.3">
      <c r="A14" s="4" t="s">
        <v>28</v>
      </c>
      <c r="B14" s="5" t="s">
        <v>35</v>
      </c>
      <c r="C14" s="11">
        <f>108*4*100</f>
        <v>43200</v>
      </c>
      <c r="D14" s="4" t="s">
        <v>36</v>
      </c>
    </row>
    <row r="15" spans="1:4" ht="24" customHeight="1" x14ac:dyDescent="0.3">
      <c r="A15" s="18" t="s">
        <v>29</v>
      </c>
      <c r="B15" s="18"/>
      <c r="C15" s="12">
        <f>SUM(C5:C14)</f>
        <v>45190</v>
      </c>
      <c r="D15" s="6"/>
    </row>
    <row r="16" spans="1:4" ht="24" customHeight="1" x14ac:dyDescent="0.3">
      <c r="A16" s="7" t="s">
        <v>30</v>
      </c>
      <c r="B16" s="8" t="s">
        <v>37</v>
      </c>
      <c r="C16" s="13">
        <f>SUM(C5:C13)*0.15</f>
        <v>298.5</v>
      </c>
      <c r="D16" s="9" t="s">
        <v>31</v>
      </c>
    </row>
    <row r="17" spans="1:4" ht="30" customHeight="1" x14ac:dyDescent="0.3">
      <c r="A17" s="19" t="s">
        <v>32</v>
      </c>
      <c r="B17" s="19"/>
      <c r="C17" s="14">
        <f>C15+C16</f>
        <v>45488.5</v>
      </c>
      <c r="D17" s="15" t="s">
        <v>33</v>
      </c>
    </row>
    <row r="19" spans="1:4" ht="15" customHeight="1" x14ac:dyDescent="0.3">
      <c r="A19" s="20"/>
      <c r="B19" s="20"/>
      <c r="C19" s="20"/>
      <c r="D19" s="20"/>
    </row>
  </sheetData>
  <mergeCells count="5">
    <mergeCell ref="A1:D1"/>
    <mergeCell ref="A2:D2"/>
    <mergeCell ref="A15:B15"/>
    <mergeCell ref="A17:B17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R</cp:lastModifiedBy>
  <cp:revision>0</cp:revision>
  <dcterms:created xsi:type="dcterms:W3CDTF">2026-05-27T00:39:53Z</dcterms:created>
  <dcterms:modified xsi:type="dcterms:W3CDTF">2026-08-08T07:25:43Z</dcterms:modified>
  <dc:language>en-US</dc:language>
</cp:coreProperties>
</file>