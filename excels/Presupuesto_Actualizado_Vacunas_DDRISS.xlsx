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ersonal\Universidad\8-OctavoSemestre\xTemporalProyectoCarrera\"/>
    </mc:Choice>
  </mc:AlternateContent>
  <xr:revisionPtr revIDLastSave="0" documentId="13_ncr:1_{6A20F67A-1344-48E1-B498-04D16650601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supues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" l="1"/>
  <c r="C16" i="1"/>
  <c r="C18" i="1" s="1"/>
</calcChain>
</file>

<file path=xl/sharedStrings.xml><?xml version="1.0" encoding="utf-8"?>
<sst xmlns="http://schemas.openxmlformats.org/spreadsheetml/2006/main" count="46" uniqueCount="40">
  <si>
    <t>PRESUPUESTO ESTIMADO DEL PROYECTO</t>
  </si>
  <si>
    <t>Plataforma web para gestión, validación y análisis de la producción de vacunación — DDRISS San Marcos | Universidad Mesoamericana 2026</t>
  </si>
  <si>
    <t>Producto / Recurso</t>
  </si>
  <si>
    <t>Cantidad / Unidad</t>
  </si>
  <si>
    <t>Estimación (GTQ)</t>
  </si>
  <si>
    <t>Supuestos, notas y financiamiento</t>
  </si>
  <si>
    <t>Dominio web</t>
  </si>
  <si>
    <t>Alojamiento web o servidor en la nube</t>
  </si>
  <si>
    <t>12 meses</t>
  </si>
  <si>
    <t>Servidor para la plataforma, API, MySQL, MongoDB y contenedores Docker. Sujeto a validación de capacidad.</t>
  </si>
  <si>
    <t>Certificado SSL</t>
  </si>
  <si>
    <t>1 unidad</t>
  </si>
  <si>
    <t>Puede utilizarse una opción gratuita mediante el proveedor o un certificado gratuito.</t>
  </si>
  <si>
    <t>Persistencia de datos (MySQL + MongoDB)</t>
  </si>
  <si>
    <t>Incluida</t>
  </si>
  <si>
    <t>Ambos motores pueden utilizarse mediante software libre y alojarse en la infraestructura del proyecto.</t>
  </si>
  <si>
    <t>Herramientas de desarrollo</t>
  </si>
  <si>
    <t>Global</t>
  </si>
  <si>
    <t>React, Node.js, Express.js, Docker, Git/GitHub y herramientas gratuitas o académicas.</t>
  </si>
  <si>
    <t>Visualización, mapas y análisis</t>
  </si>
  <si>
    <t>Leaflet, GeoJSON y librerías de gráficos compatibles con React, sin costo de licencia para el alcance planteado.</t>
  </si>
  <si>
    <t>Diseño de interfaz y prototipos</t>
  </si>
  <si>
    <t>Realizado por el equipo de proyecto mediante herramientas gratuitas o académicas.</t>
  </si>
  <si>
    <t>Material de capacitación</t>
  </si>
  <si>
    <t>Guías impresas o material de apoyo para los usuarios.</t>
  </si>
  <si>
    <t>Transporte y validación con usuarios</t>
  </si>
  <si>
    <t>Visitas para levantamiento, revisión, pruebas, validación y capacitación.</t>
  </si>
  <si>
    <t>Documentación técnica y manual de usuario</t>
  </si>
  <si>
    <t>Impresiones o preparación de documentos finales.</t>
  </si>
  <si>
    <t>Recurso humano de desarrollo</t>
  </si>
  <si>
    <t>140 hrs × 4 integrantes</t>
  </si>
  <si>
    <t>Aporte valorizado del equipo. Tarifa de referencia Q100/h por persona; horas ajustadas al alcance ampliado.</t>
  </si>
  <si>
    <t>Subtotal (sin contingencia)</t>
  </si>
  <si>
    <t>Incluye el valor estimado del recurso humano aportado por el equipo.</t>
  </si>
  <si>
    <t>Contingencia</t>
  </si>
  <si>
    <t>15% de los costos desembolsables, excluyendo el recurso humano valorizado.</t>
  </si>
  <si>
    <t>COSTO TOTAL ESTIMADO DEL PROYECTO</t>
  </si>
  <si>
    <t>Estimación base para el desarrollo e implementación inicial durante 12 meses.</t>
  </si>
  <si>
    <t>Fuente: Los autores mediante Microsoft Excel</t>
  </si>
  <si>
    <t>Nombre del sitio para acceder a la plataforma.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</si>
</sst>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Q&quot;#,##0.00"/>
  </numFmts>
  <fonts count="7">
    <font>
      <sz val="11"/>
      <name val="Carlito"/>
    </font>
    <font>
      <b/>
      <sz val="14"/>
      <color rgb="FFFFFFFF"/>
      <name val="Carlito"/>
    </font>
    <font>
      <i/>
      <sz val="10"/>
      <color rgb="FF666666"/>
      <name val="Carlito"/>
    </font>
    <font>
      <b/>
      <sz val="10"/>
      <color rgb="FFFFFFFF"/>
      <name val="Carlito"/>
    </font>
    <font>
      <b/>
      <sz val="11"/>
      <name val="Carlito"/>
    </font>
    <font>
      <b/>
      <sz val="11"/>
      <color rgb="FFFFFFFF"/>
      <name val="Carlito"/>
    </font>
    <font>
      <i/>
      <sz val="11"/>
      <color rgb="FF44546A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3B68"/>
      </patternFill>
    </fill>
    <fill>
      <patternFill patternType="solid">
        <fgColor rgb="FF3C6BB1"/>
      </patternFill>
    </fill>
    <fill>
      <patternFill patternType="solid">
        <fgColor rgb="FFFFFFFF"/>
      </patternFill>
    </fill>
    <fill>
      <patternFill patternType="solid">
        <fgColor rgb="FFD9E2F3"/>
      </patternFill>
    </fill>
  </fills>
  <borders count="9">
    <border>
      <left/>
      <right/>
      <top/>
      <bottom/>
      <diagonal/>
    </border>
    <border>
      <left style="thin">
        <color rgb="FFB8C3D5"/>
      </left>
      <right/>
      <top style="thin">
        <color rgb="FFB8C3D5"/>
      </top>
      <bottom/>
      <diagonal/>
    </border>
    <border>
      <left/>
      <right/>
      <top style="thin">
        <color rgb="FFB8C3D5"/>
      </top>
      <bottom/>
      <diagonal/>
    </border>
    <border>
      <left/>
      <right style="thin">
        <color rgb="FFB8C3D5"/>
      </right>
      <top style="thin">
        <color rgb="FFB8C3D5"/>
      </top>
      <bottom/>
      <diagonal/>
    </border>
    <border>
      <left style="thin">
        <color rgb="FFB8C3D5"/>
      </left>
      <right/>
      <top/>
      <bottom/>
      <diagonal/>
    </border>
    <border>
      <left/>
      <right style="thin">
        <color rgb="FFB8C3D5"/>
      </right>
      <top/>
      <bottom/>
      <diagonal/>
    </border>
    <border>
      <left style="thin">
        <color rgb="FFB8C3D5"/>
      </left>
      <right/>
      <top/>
      <bottom style="thin">
        <color rgb="FFB8C3D5"/>
      </bottom>
      <diagonal/>
    </border>
    <border>
      <left/>
      <right/>
      <top/>
      <bottom style="thin">
        <color rgb="FFB8C3D5"/>
      </bottom>
      <diagonal/>
    </border>
    <border>
      <left/>
      <right style="thin">
        <color rgb="FFB8C3D5"/>
      </right>
      <top/>
      <bottom style="thin">
        <color rgb="FFB8C3D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0" fillId="4" borderId="4" xfId="0" applyFill="1" applyBorder="1" applyAlignment="1">
      <alignment horizontal="left" vertical="center" wrapText="1"/>
    </xf>
    <xf numFmtId="0" fontId="0" fillId="4" borderId="0" xfId="0" applyFill="1" applyAlignment="1">
      <alignment horizontal="center" vertical="center" wrapText="1"/>
    </xf>
    <xf numFmtId="0" fontId="0" fillId="4" borderId="5" xfId="0" applyFill="1" applyBorder="1" applyAlignment="1">
      <alignment horizontal="left" vertical="center" wrapText="1"/>
    </xf>
    <xf numFmtId="0" fontId="0" fillId="5" borderId="4" xfId="0" applyFill="1" applyBorder="1" applyAlignment="1">
      <alignment horizontal="left" vertical="center" wrapText="1"/>
    </xf>
    <xf numFmtId="0" fontId="0" fillId="5" borderId="0" xfId="0" applyFill="1" applyAlignment="1">
      <alignment horizontal="center" vertical="center" wrapText="1"/>
    </xf>
    <xf numFmtId="0" fontId="0" fillId="5" borderId="5" xfId="0" applyFill="1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5" fillId="2" borderId="8" xfId="0" applyFont="1" applyFill="1" applyBorder="1" applyAlignment="1">
      <alignment horizontal="left" vertical="center" wrapText="1"/>
    </xf>
    <xf numFmtId="164" fontId="0" fillId="4" borderId="0" xfId="0" applyNumberFormat="1" applyFill="1" applyAlignment="1">
      <alignment horizontal="right" vertical="center" wrapText="1"/>
    </xf>
    <xf numFmtId="164" fontId="0" fillId="5" borderId="0" xfId="0" applyNumberFormat="1" applyFill="1" applyAlignment="1">
      <alignment horizontal="right" vertical="center" wrapText="1"/>
    </xf>
    <xf numFmtId="164" fontId="4" fillId="5" borderId="0" xfId="0" applyNumberFormat="1" applyFont="1" applyFill="1" applyAlignment="1">
      <alignment horizontal="right" vertical="center" wrapText="1"/>
    </xf>
    <xf numFmtId="164" fontId="0" fillId="0" borderId="0" xfId="0" applyNumberFormat="1" applyAlignment="1">
      <alignment horizontal="right" vertical="center" wrapText="1"/>
    </xf>
    <xf numFmtId="164" fontId="5" fillId="2" borderId="7" xfId="0" applyNumberFormat="1" applyFont="1" applyFill="1" applyBorder="1" applyAlignment="1">
      <alignment horizontal="right" vertical="center"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5" borderId="4" xfId="0" applyFont="1" applyFill="1" applyBorder="1" applyAlignment="1">
      <alignment horizontal="left" vertical="center" wrapText="1"/>
    </xf>
    <xf numFmtId="0" fontId="4" fillId="5" borderId="0" xfId="0" applyFont="1" applyFill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2" borderId="6" xfId="0" applyFont="1" applyFill="1" applyBorder="1" applyAlignment="1">
      <alignment horizontal="left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activeCell="F17" sqref="F17"/>
    </sheetView>
  </sheetViews>
  <sheetFormatPr defaultRowHeight="14.25"/>
  <cols>
    <col min="1" max="1" width="31" customWidth="1"/>
    <col min="2" max="2" width="24.5" customWidth="1"/>
    <col min="3" max="3" width="28.375" customWidth="1"/>
    <col min="4" max="4" width="52" customWidth="1"/>
  </cols>
  <sheetData>
    <row r="1" spans="1:4" ht="27.95" customHeight="1">
      <c r="A1" s="17" t="s">
        <v>0</v>
      </c>
      <c r="B1" s="17"/>
      <c r="C1" s="17"/>
      <c r="D1" s="17"/>
    </row>
    <row r="2" spans="1:4" ht="20.100000000000001" customHeight="1">
      <c r="A2" s="18" t="s">
        <v>1</v>
      </c>
      <c r="B2" s="18"/>
      <c r="C2" s="18"/>
      <c r="D2" s="18"/>
    </row>
    <row r="4" spans="1:4" ht="26.1" customHeight="1">
      <c r="A4" s="1" t="s">
        <v>2</v>
      </c>
      <c r="B4" s="2" t="s">
        <v>3</v>
      </c>
      <c r="C4" s="2" t="s">
        <v>4</v>
      </c>
      <c r="D4" s="3" t="s">
        <v>5</v>
      </c>
    </row>
    <row r="5" spans="1:4" ht="33.950000000000003" customHeight="1">
      <c r="A5" s="4" t="s">
        <v>6</v>
      </c>
      <c r="B5" s="5" t="s">
        <v>8</v>
      </c>
      <c r="C5" s="12">
        <v>120</v>
      </c>
      <c r="D5" s="6" t="s">
        <v>39</v>
      </c>
    </row>
    <row r="6" spans="1:4" ht="33.950000000000003" customHeight="1">
      <c r="A6" s="7" t="s">
        <v>7</v>
      </c>
      <c r="B6" s="8" t="s">
        <v>8</v>
      </c>
      <c r="C6" s="13">
        <v>1200</v>
      </c>
      <c r="D6" s="9" t="s">
        <v>9</v>
      </c>
    </row>
    <row r="7" spans="1:4" ht="33.950000000000003" customHeight="1">
      <c r="A7" s="4" t="s">
        <v>10</v>
      </c>
      <c r="B7" s="5" t="s">
        <v>11</v>
      </c>
      <c r="C7" s="12">
        <v>0</v>
      </c>
      <c r="D7" s="6" t="s">
        <v>12</v>
      </c>
    </row>
    <row r="8" spans="1:4" ht="33.950000000000003" customHeight="1">
      <c r="A8" s="7" t="s">
        <v>13</v>
      </c>
      <c r="B8" s="8" t="s">
        <v>14</v>
      </c>
      <c r="C8" s="13">
        <v>0</v>
      </c>
      <c r="D8" s="9" t="s">
        <v>15</v>
      </c>
    </row>
    <row r="9" spans="1:4" ht="33.950000000000003" customHeight="1">
      <c r="A9" s="4" t="s">
        <v>16</v>
      </c>
      <c r="B9" s="5" t="s">
        <v>17</v>
      </c>
      <c r="C9" s="12">
        <v>0</v>
      </c>
      <c r="D9" s="6" t="s">
        <v>18</v>
      </c>
    </row>
    <row r="10" spans="1:4" ht="33.950000000000003" customHeight="1">
      <c r="A10" s="7" t="s">
        <v>19</v>
      </c>
      <c r="B10" s="8" t="s">
        <v>17</v>
      </c>
      <c r="C10" s="13">
        <v>0</v>
      </c>
      <c r="D10" s="9" t="s">
        <v>20</v>
      </c>
    </row>
    <row r="11" spans="1:4" ht="33.950000000000003" customHeight="1">
      <c r="A11" s="4" t="s">
        <v>21</v>
      </c>
      <c r="B11" s="5" t="s">
        <v>17</v>
      </c>
      <c r="C11" s="12">
        <v>0</v>
      </c>
      <c r="D11" s="6" t="s">
        <v>22</v>
      </c>
    </row>
    <row r="12" spans="1:4" ht="33.950000000000003" customHeight="1">
      <c r="A12" s="7" t="s">
        <v>23</v>
      </c>
      <c r="B12" s="8" t="s">
        <v>17</v>
      </c>
      <c r="C12" s="13">
        <v>150</v>
      </c>
      <c r="D12" s="9" t="s">
        <v>24</v>
      </c>
    </row>
    <row r="13" spans="1:4" ht="33.950000000000003" customHeight="1">
      <c r="A13" s="4" t="s">
        <v>25</v>
      </c>
      <c r="B13" s="5" t="s">
        <v>17</v>
      </c>
      <c r="C13" s="12">
        <v>300</v>
      </c>
      <c r="D13" s="6" t="s">
        <v>26</v>
      </c>
    </row>
    <row r="14" spans="1:4" ht="33.950000000000003" customHeight="1">
      <c r="A14" s="7" t="s">
        <v>27</v>
      </c>
      <c r="B14" s="8" t="s">
        <v>17</v>
      </c>
      <c r="C14" s="13">
        <v>100</v>
      </c>
      <c r="D14" s="9" t="s">
        <v>28</v>
      </c>
    </row>
    <row r="15" spans="1:4" ht="33.950000000000003" customHeight="1">
      <c r="A15" s="4" t="s">
        <v>29</v>
      </c>
      <c r="B15" s="5" t="s">
        <v>30</v>
      </c>
      <c r="C15" s="12">
        <v>56000</v>
      </c>
      <c r="D15" s="6" t="s">
        <v>31</v>
      </c>
    </row>
    <row r="16" spans="1:4" ht="30" customHeight="1">
      <c r="A16" s="19" t="s">
        <v>32</v>
      </c>
      <c r="B16" s="20"/>
      <c r="C16" s="14">
        <f>SUM(C5:C15)</f>
        <v>57870</v>
      </c>
      <c r="D16" s="9" t="s">
        <v>33</v>
      </c>
    </row>
    <row r="17" spans="1:4" ht="30" customHeight="1">
      <c r="A17" s="21" t="s">
        <v>34</v>
      </c>
      <c r="B17" s="22"/>
      <c r="C17" s="15">
        <f>15%*(SUM(C5:C15)-C15)</f>
        <v>280.5</v>
      </c>
      <c r="D17" s="10" t="s">
        <v>35</v>
      </c>
    </row>
    <row r="18" spans="1:4" ht="30" customHeight="1">
      <c r="A18" s="23" t="s">
        <v>36</v>
      </c>
      <c r="B18" s="24"/>
      <c r="C18" s="16">
        <f>C16+C17</f>
        <v>58150.5</v>
      </c>
      <c r="D18" s="11" t="s">
        <v>37</v>
      </c>
    </row>
    <row r="20" spans="1:4" ht="24" customHeight="1">
      <c r="A20" s="25" t="s">
        <v>38</v>
      </c>
      <c r="B20" s="25"/>
      <c r="C20" s="25"/>
      <c r="D20" s="25"/>
    </row>
  </sheetData>
  <mergeCells count="6">
    <mergeCell ref="A20:D20"/>
    <mergeCell ref="A1:D1"/>
    <mergeCell ref="A2:D2"/>
    <mergeCell ref="A16:B16"/>
    <mergeCell ref="A17:B17"/>
    <mergeCell ref="A18:B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Presupuesto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Suárez</cp:lastModifiedBy>
  <dcterms:modified xsi:type="dcterms:W3CDTF">2026-09-19T02:48:24Z</dcterms:modified>
</cp:coreProperties>
</file>