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ennethram\Desktop\"/>
    </mc:Choice>
  </mc:AlternateContent>
  <xr:revisionPtr revIDLastSave="0" documentId="13_ncr:1_{B2458ED0-6755-40DA-87D0-ABDE46ABA4F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esupuesto" sheetId="1" r:id="rId1"/>
    <sheet name="Financiamiento" sheetId="2" r:id="rId2"/>
    <sheet name="Resumen de costos " sheetId="4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7" i="2"/>
  <c r="C14" i="1"/>
  <c r="C13" i="1"/>
  <c r="C22" i="1"/>
  <c r="C19" i="1"/>
  <c r="C25" i="1" l="1"/>
  <c r="C24" i="1"/>
  <c r="C26" i="1" s="1"/>
</calcChain>
</file>

<file path=xl/sharedStrings.xml><?xml version="1.0" encoding="utf-8"?>
<sst xmlns="http://schemas.openxmlformats.org/spreadsheetml/2006/main" count="71" uniqueCount="53">
  <si>
    <t>PRESUPUESTO ESTIMADO DEL PROYECTO</t>
  </si>
  <si>
    <t>Sistema web para gestión, validación y análisis de la producción de vacunación — DDRISS San Marcos | Universidad Mesoamericana 2026</t>
  </si>
  <si>
    <t>Infraestructura y recursos tecnológicos</t>
  </si>
  <si>
    <t>FORMA DE FINANCIAMIENTO DEL PROYECTO</t>
  </si>
  <si>
    <t>Fuente de financiamiento</t>
  </si>
  <si>
    <t>Tipo de aporte</t>
  </si>
  <si>
    <t>Monto estimado (GTQ)</t>
  </si>
  <si>
    <t>Integrantes del proyecto</t>
  </si>
  <si>
    <t>TOTAL ESTIMADO DEL PROYECTO</t>
  </si>
  <si>
    <t>Fuente: Los autores mediante Microsoft Excel</t>
  </si>
  <si>
    <t>Producto / gasto</t>
  </si>
  <si>
    <t>Cantidad / unidad</t>
  </si>
  <si>
    <t>Estimación (GTQ)</t>
  </si>
  <si>
    <t>12 meses</t>
  </si>
  <si>
    <t>1 unidad</t>
  </si>
  <si>
    <t>Incluida</t>
  </si>
  <si>
    <t>Global</t>
  </si>
  <si>
    <t>Insumos operativos y actividades de implementación</t>
  </si>
  <si>
    <t>6 viajes ida y vuelta × Q150.00</t>
  </si>
  <si>
    <t>2 informes + 4 manuales de usuario + 1 manual técnico</t>
  </si>
  <si>
    <t>Subtotal de insumos operativos y actividades de implementación</t>
  </si>
  <si>
    <t>Talento humano</t>
  </si>
  <si>
    <t>140 hrs × 4 integrantes</t>
  </si>
  <si>
    <t>Subtotal de talento humano</t>
  </si>
  <si>
    <t>Subtotal (sin contingencia)</t>
  </si>
  <si>
    <t>15 % de costos desembolsables</t>
  </si>
  <si>
    <t>COSTO TOTAL ESTIMADO DEL PROYECTO</t>
  </si>
  <si>
    <t>Registro del nombre de dominio utilizado para acceder al sistema web durante un año.</t>
  </si>
  <si>
    <t>Servicio para alojar el sistema web, la API, las bases de datos y los contenedores requeridos.</t>
  </si>
  <si>
    <t>Certificado SSL: certificado de seguridad para habilitar conexión HTTPS.</t>
  </si>
  <si>
    <t>Persistencia de datos (MySQL + MongoDB): motores de base de datos utilizados por el sistema.</t>
  </si>
  <si>
    <t>Herramientas de desarrollo: React, Node.js, Express.js, Docker, Git/GitHub.</t>
  </si>
  <si>
    <t>Visualización, mapas y análisis: Leaflet, GeoJSON y librerías de gráficos compatibles con React utilizadas sin costo de licencia.</t>
  </si>
  <si>
    <t xml:space="preserve">Diseño de interfaz y prototipos: elaboración de prototipos e interfaces mediante Claude Design </t>
  </si>
  <si>
    <t>Subtotal de infraestructura y recursos tecnológicos (Q)</t>
  </si>
  <si>
    <t>Subtotal de infraestructura y recursos tecnológicos ($)</t>
  </si>
  <si>
    <t>1 mes</t>
  </si>
  <si>
    <t>Material de capacitación: guías impresas, hojas y útiles de apoyo requeridos durante la capacitación de los usuarios.</t>
  </si>
  <si>
    <t>Transporte: combustible para seis visitas de trabajo de ida y vuelta a San Marcos, realizadas en vehículo propio Toyota Yaris 2020.</t>
  </si>
  <si>
    <t>Documentación técnica y manual de usuario: impresión láser y empastado de dos copias del informe final, cuatro manuales de usuario (uno por cada rol) y un manual técnico.</t>
  </si>
  <si>
    <t>Contingencia: reserva equivalente al 15 % de los costos que requieren desembolso, excluyendo el recurso humano valorizado.</t>
  </si>
  <si>
    <t>Recurso humano</t>
  </si>
  <si>
    <t>Valor estimado del trabajo aportado por los cuatro integrantes durante el análisis, diseño, desarrollo, pruebas, implementación y documentación del sistema web.</t>
  </si>
  <si>
    <t>RESUMEN DE COSTOS DEL PROYECTO</t>
  </si>
  <si>
    <t>Sistema web para gestión, validación y análisis de la producción de vacunación — DDRISS San Marcos</t>
  </si>
  <si>
    <t>Concepto / subtotal</t>
  </si>
  <si>
    <t>Moneda</t>
  </si>
  <si>
    <t>Monto estimado</t>
  </si>
  <si>
    <t>Q</t>
  </si>
  <si>
    <t>$</t>
  </si>
  <si>
    <t>Contingencia: 15 % de los costos desembolsables, sin incluir el recurso humano</t>
  </si>
  <si>
    <t>Fuente: Elaboración propia, con base en la hoja «Presupuesto» de este libro.</t>
  </si>
  <si>
    <t>Nota: El costo de US$20.00 del servicio de diseño de interfaz y prototipos se presenta por separado; no se convierte ni se incluye en el total expresado en quetzales.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</si>
</sst>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&quot;Q&quot;#,##0.00"/>
    <numFmt numFmtId="165" formatCode="_-[$$-409]* #,##0.00_ ;_-[$$-409]* \-#,##0.00\ ;_-[$$-409]* &quot;-&quot;??_ ;_-@_ "/>
    <numFmt numFmtId="166" formatCode="_-[$Q-100A]* #,##0.00_-;\-[$Q-100A]* #,##0.00_-;_-[$Q-100A]* &quot;-&quot;??_-;_-@_-"/>
    <numFmt numFmtId="167" formatCode="#,##0.00;\(#,##0.00\);&quot;-&quot;"/>
  </numFmts>
  <fonts count="26">
    <font>
      <sz val="11"/>
      <name val="Carlito"/>
    </font>
    <font>
      <b/>
      <sz val="14"/>
      <color rgb="FFFFFFFF"/>
      <name val="Carlito"/>
    </font>
    <font>
      <i/>
      <sz val="10"/>
      <color rgb="FF666666"/>
      <name val="Carlito"/>
    </font>
    <font>
      <b/>
      <sz val="10"/>
      <color rgb="FFFFFFFF"/>
      <name val="Carlito"/>
    </font>
    <font>
      <b/>
      <sz val="11"/>
      <color rgb="FFFFFFFF"/>
      <name val="Carlito"/>
    </font>
    <font>
      <i/>
      <sz val="10"/>
      <color rgb="FF3F5576"/>
      <name val="Carlito"/>
    </font>
    <font>
      <sz val="11"/>
      <color rgb="FF1F1F1F"/>
      <name val="Carlito"/>
    </font>
    <font>
      <b/>
      <sz val="11"/>
      <color rgb="FF1F1F1F"/>
      <name val="Carlito"/>
    </font>
    <font>
      <b/>
      <sz val="11"/>
      <color rgb="FFFFFFFF"/>
      <name val="Carlito"/>
    </font>
    <font>
      <i/>
      <sz val="9"/>
      <color rgb="FF2F5687"/>
      <name val="Carlito"/>
    </font>
    <font>
      <i/>
      <sz val="10"/>
      <color rgb="FF1F1F1F"/>
      <name val="Carlito"/>
    </font>
    <font>
      <sz val="11"/>
      <name val="Carlito"/>
    </font>
    <font>
      <b/>
      <sz val="11"/>
      <color rgb="FF1F1F1F"/>
      <name val="Arial"/>
    </font>
    <font>
      <sz val="11"/>
      <color rgb="FF1F1F1F"/>
      <name val="Arial"/>
    </font>
    <font>
      <b/>
      <sz val="16"/>
      <color rgb="FFFFFFFF"/>
      <name val="Arial"/>
    </font>
    <font>
      <i/>
      <sz val="10"/>
      <color rgb="FF666666"/>
      <name val="Arial"/>
    </font>
    <font>
      <b/>
      <sz val="11"/>
      <color rgb="FFFFFFFF"/>
      <name val="Arial"/>
    </font>
    <font>
      <i/>
      <sz val="10"/>
      <color rgb="FF4F6485"/>
      <name val="Arial"/>
    </font>
    <font>
      <b/>
      <sz val="17"/>
      <color rgb="FFFFFFFF"/>
      <name val="Arial"/>
    </font>
    <font>
      <i/>
      <sz val="10.5"/>
      <color rgb="FF616B7C"/>
      <name val="Arial"/>
    </font>
    <font>
      <sz val="11"/>
      <name val="Arial"/>
    </font>
    <font>
      <sz val="11.5"/>
      <color rgb="FF000000"/>
      <name val="Arial"/>
    </font>
    <font>
      <b/>
      <sz val="11.5"/>
      <color rgb="FF000000"/>
      <name val="Arial"/>
    </font>
    <font>
      <b/>
      <sz val="11.5"/>
      <color rgb="FFFFFFFF"/>
      <name val="Arial"/>
    </font>
    <font>
      <i/>
      <sz val="9.5"/>
      <color rgb="FF616B7C"/>
      <name val="Arial"/>
    </font>
    <font>
      <i/>
      <sz val="10"/>
      <color rgb="FF4A5568"/>
      <name val="Arial"/>
    </font>
  </fonts>
  <fills count="20">
    <fill>
      <patternFill patternType="none"/>
    </fill>
    <fill>
      <patternFill patternType="gray125"/>
    </fill>
    <fill>
      <patternFill patternType="solid">
        <fgColor rgb="FF244673"/>
      </patternFill>
    </fill>
    <fill>
      <patternFill patternType="solid">
        <fgColor rgb="FF4472C4"/>
      </patternFill>
    </fill>
    <fill>
      <patternFill patternType="solid">
        <fgColor rgb="FF5B9BD5"/>
      </patternFill>
    </fill>
    <fill>
      <patternFill patternType="solid">
        <fgColor rgb="FFD9E2F3"/>
      </patternFill>
    </fill>
    <fill>
      <patternFill patternType="solid">
        <fgColor rgb="FFEAF0F8"/>
      </patternFill>
    </fill>
    <fill>
      <patternFill patternType="solid">
        <fgColor rgb="FFFFFFFF"/>
      </patternFill>
    </fill>
    <fill>
      <patternFill patternType="solid">
        <fgColor rgb="FF2F5687"/>
      </patternFill>
    </fill>
    <fill>
      <patternFill patternType="solid">
        <fgColor rgb="FF4472C4"/>
      </patternFill>
    </fill>
    <fill>
      <patternFill patternType="solid">
        <fgColor rgb="FFEAF0F8"/>
      </patternFill>
    </fill>
    <fill>
      <patternFill patternType="solid">
        <fgColor rgb="FFD9E2F3"/>
      </patternFill>
    </fill>
    <fill>
      <patternFill patternType="solid">
        <fgColor rgb="FF294E7D"/>
      </patternFill>
    </fill>
    <fill>
      <patternFill patternType="solid">
        <fgColor rgb="FF4472C4"/>
      </patternFill>
    </fill>
    <fill>
      <patternFill patternType="solid">
        <fgColor rgb="FF5B9BD5"/>
      </patternFill>
    </fill>
    <fill>
      <patternFill patternType="solid">
        <fgColor rgb="FFD9E2F3"/>
      </patternFill>
    </fill>
    <fill>
      <patternFill patternType="solid">
        <fgColor rgb="FFEAF0F8"/>
      </patternFill>
    </fill>
    <fill>
      <patternFill patternType="solid">
        <fgColor rgb="FF4472C4"/>
        <bgColor rgb="FF000000"/>
      </patternFill>
    </fill>
    <fill>
      <patternFill patternType="solid">
        <fgColor rgb="FFD9E2F3"/>
        <bgColor rgb="FF000000"/>
      </patternFill>
    </fill>
    <fill>
      <patternFill patternType="solid">
        <fgColor rgb="FFF0F7FF"/>
      </patternFill>
    </fill>
  </fills>
  <borders count="13">
    <border>
      <left/>
      <right/>
      <top/>
      <bottom/>
      <diagonal/>
    </border>
    <border>
      <left style="thin">
        <color rgb="FFB8C3D5"/>
      </left>
      <right/>
      <top style="thin">
        <color rgb="FFB8C3D5"/>
      </top>
      <bottom/>
      <diagonal/>
    </border>
    <border>
      <left/>
      <right/>
      <top style="thin">
        <color rgb="FFB8C3D5"/>
      </top>
      <bottom/>
      <diagonal/>
    </border>
    <border>
      <left/>
      <right style="thin">
        <color rgb="FFB8C3D5"/>
      </right>
      <top style="thin">
        <color rgb="FFB8C3D5"/>
      </top>
      <bottom/>
      <diagonal/>
    </border>
    <border>
      <left style="thin">
        <color rgb="FFB8C3D5"/>
      </left>
      <right/>
      <top/>
      <bottom/>
      <diagonal/>
    </border>
    <border>
      <left/>
      <right style="thin">
        <color rgb="FFB8C3D5"/>
      </right>
      <top/>
      <bottom/>
      <diagonal/>
    </border>
    <border>
      <left style="thin">
        <color rgb="FFB8C3D5"/>
      </left>
      <right/>
      <top/>
      <bottom style="thin">
        <color rgb="FFB8C3D5"/>
      </bottom>
      <diagonal/>
    </border>
    <border>
      <left/>
      <right/>
      <top/>
      <bottom style="thin">
        <color rgb="FFB8C3D5"/>
      </bottom>
      <diagonal/>
    </border>
    <border>
      <left/>
      <right style="thin">
        <color rgb="FFB8C3D5"/>
      </right>
      <top/>
      <bottom style="thin">
        <color rgb="FFB8C3D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8C3D5"/>
      </left>
      <right/>
      <top/>
      <bottom/>
      <diagonal/>
    </border>
    <border>
      <left/>
      <right style="thin">
        <color rgb="FFB8C3D5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1" fillId="0" borderId="10"/>
  </cellStyleXfs>
  <cellXfs count="89">
    <xf numFmtId="0" fontId="0" fillId="0" borderId="0" xfId="0"/>
    <xf numFmtId="0" fontId="3" fillId="3" borderId="3" xfId="0" applyNumberFormat="1" applyFont="1" applyFill="1" applyBorder="1" applyAlignment="1">
      <alignment horizontal="center" vertical="center" wrapText="1"/>
    </xf>
    <xf numFmtId="0" fontId="6" fillId="7" borderId="5" xfId="0" applyNumberFormat="1" applyFont="1" applyFill="1" applyBorder="1" applyAlignment="1">
      <alignment horizontal="left" vertical="center" wrapText="1"/>
    </xf>
    <xf numFmtId="0" fontId="6" fillId="5" borderId="5" xfId="0" applyNumberFormat="1" applyFont="1" applyFill="1" applyBorder="1" applyAlignment="1">
      <alignment horizontal="left" vertical="center" wrapText="1"/>
    </xf>
    <xf numFmtId="0" fontId="7" fillId="6" borderId="5" xfId="0" applyNumberFormat="1" applyFont="1" applyFill="1" applyBorder="1" applyAlignment="1">
      <alignment horizontal="left" vertical="center" wrapText="1"/>
    </xf>
    <xf numFmtId="0" fontId="7" fillId="6" borderId="8" xfId="0" applyNumberFormat="1" applyFont="1" applyFill="1" applyBorder="1" applyAlignment="1">
      <alignment horizontal="left" vertical="center" wrapText="1"/>
    </xf>
    <xf numFmtId="0" fontId="7" fillId="6" borderId="0" xfId="0" applyNumberFormat="1" applyFont="1" applyFill="1" applyBorder="1" applyAlignment="1">
      <alignment vertical="center" wrapText="1"/>
    </xf>
    <xf numFmtId="0" fontId="8" fillId="2" borderId="0" xfId="0" applyNumberFormat="1" applyFont="1" applyFill="1" applyBorder="1" applyAlignment="1">
      <alignment vertical="center" wrapText="1"/>
    </xf>
    <xf numFmtId="0" fontId="4" fillId="9" borderId="0" xfId="0" applyNumberFormat="1" applyFont="1" applyFill="1" applyBorder="1" applyAlignment="1">
      <alignment horizontal="center" vertical="center" wrapText="1"/>
    </xf>
    <xf numFmtId="0" fontId="4" fillId="8" borderId="0" xfId="0" applyNumberFormat="1" applyFont="1" applyFill="1" applyBorder="1" applyAlignment="1">
      <alignment vertical="center" wrapText="1"/>
    </xf>
    <xf numFmtId="164" fontId="4" fillId="8" borderId="0" xfId="0" applyNumberFormat="1" applyFont="1" applyFill="1" applyBorder="1" applyAlignment="1">
      <alignment horizontal="right" vertical="center" wrapText="1"/>
    </xf>
    <xf numFmtId="0" fontId="6" fillId="7" borderId="4" xfId="0" applyNumberFormat="1" applyFont="1" applyFill="1" applyBorder="1" applyAlignment="1">
      <alignment horizontal="center" vertical="center" wrapText="1"/>
    </xf>
    <xf numFmtId="0" fontId="6" fillId="11" borderId="9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left" vertical="center" wrapText="1"/>
    </xf>
    <xf numFmtId="0" fontId="5" fillId="0" borderId="0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4" fillId="4" borderId="5" xfId="0" applyNumberFormat="1" applyFont="1" applyFill="1" applyBorder="1" applyAlignment="1">
      <alignment horizontal="left" vertical="center" wrapText="1"/>
    </xf>
    <xf numFmtId="0" fontId="10" fillId="10" borderId="0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horizontal="center"/>
    </xf>
    <xf numFmtId="0" fontId="0" fillId="0" borderId="0" xfId="0"/>
    <xf numFmtId="0" fontId="7" fillId="6" borderId="12" xfId="0" applyNumberFormat="1" applyFont="1" applyFill="1" applyBorder="1" applyAlignment="1">
      <alignment horizontal="left" vertical="center" wrapText="1"/>
    </xf>
    <xf numFmtId="0" fontId="6" fillId="7" borderId="11" xfId="0" applyNumberFormat="1" applyFont="1" applyFill="1" applyBorder="1" applyAlignment="1">
      <alignment horizontal="center" vertical="center" wrapText="1"/>
    </xf>
    <xf numFmtId="0" fontId="13" fillId="7" borderId="4" xfId="0" applyNumberFormat="1" applyFont="1" applyFill="1" applyBorder="1" applyAlignment="1">
      <alignment horizontal="left" vertical="center" wrapText="1"/>
    </xf>
    <xf numFmtId="0" fontId="13" fillId="7" borderId="0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vertical="center" wrapText="1"/>
    </xf>
    <xf numFmtId="0" fontId="16" fillId="13" borderId="1" xfId="0" applyNumberFormat="1" applyFont="1" applyFill="1" applyBorder="1" applyAlignment="1">
      <alignment horizontal="center" vertical="center" wrapText="1"/>
    </xf>
    <xf numFmtId="0" fontId="16" fillId="13" borderId="2" xfId="0" applyNumberFormat="1" applyFont="1" applyFill="1" applyBorder="1" applyAlignment="1">
      <alignment horizontal="center" vertical="center" wrapText="1"/>
    </xf>
    <xf numFmtId="0" fontId="13" fillId="15" borderId="4" xfId="0" applyNumberFormat="1" applyFont="1" applyFill="1" applyBorder="1" applyAlignment="1">
      <alignment horizontal="left" vertical="center" wrapText="1"/>
    </xf>
    <xf numFmtId="0" fontId="13" fillId="15" borderId="0" xfId="0" applyNumberFormat="1" applyFont="1" applyFill="1" applyBorder="1" applyAlignment="1">
      <alignment horizontal="center" vertical="center" wrapText="1"/>
    </xf>
    <xf numFmtId="164" fontId="13" fillId="15" borderId="0" xfId="0" applyNumberFormat="1" applyFont="1" applyFill="1" applyBorder="1" applyAlignment="1">
      <alignment horizontal="right" vertical="center" wrapText="1"/>
    </xf>
    <xf numFmtId="0" fontId="12" fillId="15" borderId="0" xfId="0" applyNumberFormat="1" applyFont="1" applyFill="1" applyBorder="1" applyAlignment="1">
      <alignment vertical="center" wrapText="1"/>
    </xf>
    <xf numFmtId="0" fontId="12" fillId="15" borderId="0" xfId="0" applyNumberFormat="1" applyFont="1" applyFill="1" applyBorder="1" applyAlignment="1">
      <alignment horizontal="center" vertical="center" wrapText="1"/>
    </xf>
    <xf numFmtId="164" fontId="12" fillId="15" borderId="0" xfId="0" applyNumberFormat="1" applyFont="1" applyFill="1" applyBorder="1" applyAlignment="1">
      <alignment horizontal="right" vertical="center" wrapText="1"/>
    </xf>
    <xf numFmtId="0" fontId="12" fillId="16" borderId="4" xfId="0" applyNumberFormat="1" applyFont="1" applyFill="1" applyBorder="1" applyAlignment="1">
      <alignment horizontal="left" vertical="center" wrapText="1"/>
    </xf>
    <xf numFmtId="0" fontId="12" fillId="16" borderId="0" xfId="0" applyNumberFormat="1" applyFont="1" applyFill="1" applyBorder="1" applyAlignment="1">
      <alignment horizontal="center" vertical="center" wrapText="1"/>
    </xf>
    <xf numFmtId="164" fontId="12" fillId="16" borderId="0" xfId="0" applyNumberFormat="1" applyFont="1" applyFill="1" applyBorder="1" applyAlignment="1">
      <alignment horizontal="right" vertical="center" wrapText="1"/>
    </xf>
    <xf numFmtId="0" fontId="12" fillId="16" borderId="10" xfId="0" applyNumberFormat="1" applyFont="1" applyFill="1" applyBorder="1" applyAlignment="1">
      <alignment horizontal="center" vertical="center" wrapText="1"/>
    </xf>
    <xf numFmtId="164" fontId="12" fillId="16" borderId="7" xfId="0" applyNumberFormat="1" applyFont="1" applyFill="1" applyBorder="1" applyAlignment="1">
      <alignment horizontal="right" vertical="center" wrapText="1"/>
    </xf>
    <xf numFmtId="0" fontId="12" fillId="16" borderId="0" xfId="0" applyNumberFormat="1" applyFont="1" applyFill="1" applyBorder="1" applyAlignment="1">
      <alignment vertical="center" wrapText="1"/>
    </xf>
    <xf numFmtId="0" fontId="16" fillId="12" borderId="0" xfId="0" applyNumberFormat="1" applyFont="1" applyFill="1" applyBorder="1" applyAlignment="1">
      <alignment vertical="center" wrapText="1"/>
    </xf>
    <xf numFmtId="0" fontId="16" fillId="12" borderId="0" xfId="0" applyNumberFormat="1" applyFont="1" applyFill="1" applyBorder="1" applyAlignment="1">
      <alignment horizontal="center" vertical="center" wrapText="1"/>
    </xf>
    <xf numFmtId="164" fontId="16" fillId="12" borderId="0" xfId="0" applyNumberFormat="1" applyFont="1" applyFill="1" applyBorder="1" applyAlignment="1">
      <alignment horizontal="right" vertical="center" wrapText="1"/>
    </xf>
    <xf numFmtId="165" fontId="13" fillId="7" borderId="0" xfId="2" applyNumberFormat="1" applyFont="1" applyFill="1" applyBorder="1" applyAlignment="1">
      <alignment horizontal="right" vertical="center" wrapText="1"/>
    </xf>
    <xf numFmtId="165" fontId="12" fillId="16" borderId="10" xfId="2" applyNumberFormat="1" applyFont="1" applyFill="1" applyBorder="1" applyAlignment="1">
      <alignment horizontal="right" vertical="center" wrapText="1"/>
    </xf>
    <xf numFmtId="166" fontId="13" fillId="7" borderId="0" xfId="0" applyNumberFormat="1" applyFont="1" applyFill="1" applyBorder="1" applyAlignment="1">
      <alignment horizontal="right" vertical="center" wrapText="1"/>
    </xf>
    <xf numFmtId="166" fontId="13" fillId="15" borderId="0" xfId="0" applyNumberFormat="1" applyFont="1" applyFill="1" applyBorder="1" applyAlignment="1">
      <alignment horizontal="right" vertical="center" wrapText="1"/>
    </xf>
    <xf numFmtId="166" fontId="12" fillId="16" borderId="0" xfId="0" applyNumberFormat="1" applyFont="1" applyFill="1" applyBorder="1" applyAlignment="1">
      <alignment horizontal="right" vertical="center" wrapText="1"/>
    </xf>
    <xf numFmtId="0" fontId="4" fillId="17" borderId="10" xfId="0" applyFont="1" applyFill="1" applyBorder="1" applyAlignment="1">
      <alignment horizontal="center" vertical="center" wrapText="1"/>
    </xf>
    <xf numFmtId="0" fontId="6" fillId="18" borderId="11" xfId="0" applyFont="1" applyFill="1" applyBorder="1" applyAlignment="1">
      <alignment horizontal="center" vertical="center" wrapText="1"/>
    </xf>
    <xf numFmtId="166" fontId="12" fillId="0" borderId="0" xfId="0" applyNumberFormat="1" applyFont="1" applyFill="1" applyBorder="1" applyAlignment="1">
      <alignment horizontal="right" vertical="center" wrapText="1"/>
    </xf>
    <xf numFmtId="0" fontId="16" fillId="14" borderId="0" xfId="0" applyNumberFormat="1" applyFont="1" applyFill="1" applyBorder="1" applyAlignment="1">
      <alignment horizontal="left" vertical="center" wrapText="1"/>
    </xf>
    <xf numFmtId="0" fontId="16" fillId="14" borderId="0" xfId="0" applyNumberFormat="1" applyFont="1" applyFill="1" applyBorder="1" applyAlignment="1">
      <alignment horizontal="center" vertical="center" wrapText="1"/>
    </xf>
    <xf numFmtId="164" fontId="16" fillId="14" borderId="0" xfId="0" applyNumberFormat="1" applyFont="1" applyFill="1" applyBorder="1" applyAlignment="1">
      <alignment horizontal="right" vertical="center" wrapText="1"/>
    </xf>
    <xf numFmtId="0" fontId="17" fillId="0" borderId="0" xfId="0" applyNumberFormat="1" applyFont="1" applyFill="1" applyBorder="1" applyAlignment="1">
      <alignment horizontal="center" vertical="center" wrapText="1"/>
    </xf>
    <xf numFmtId="0" fontId="13" fillId="15" borderId="4" xfId="0" applyNumberFormat="1" applyFont="1" applyFill="1" applyBorder="1" applyAlignment="1">
      <alignment horizontal="left" vertical="center" wrapText="1"/>
    </xf>
    <xf numFmtId="0" fontId="13" fillId="15" borderId="0" xfId="0" applyNumberFormat="1" applyFont="1" applyFill="1" applyBorder="1" applyAlignment="1">
      <alignment horizontal="center" vertical="center" wrapText="1"/>
    </xf>
    <xf numFmtId="0" fontId="13" fillId="7" borderId="4" xfId="0" applyNumberFormat="1" applyFont="1" applyFill="1" applyBorder="1" applyAlignment="1">
      <alignment horizontal="left" vertical="center" wrapText="1"/>
    </xf>
    <xf numFmtId="0" fontId="13" fillId="7" borderId="0" xfId="0" applyNumberFormat="1" applyFont="1" applyFill="1" applyBorder="1" applyAlignment="1">
      <alignment horizontal="center" vertical="center" wrapText="1"/>
    </xf>
    <xf numFmtId="0" fontId="12" fillId="16" borderId="6" xfId="0" applyNumberFormat="1" applyFont="1" applyFill="1" applyBorder="1" applyAlignment="1">
      <alignment horizontal="left" vertical="center" wrapText="1"/>
    </xf>
    <xf numFmtId="0" fontId="12" fillId="16" borderId="7" xfId="0" applyNumberFormat="1" applyFont="1" applyFill="1" applyBorder="1" applyAlignment="1">
      <alignment horizontal="center" vertical="center" wrapText="1"/>
    </xf>
    <xf numFmtId="0" fontId="14" fillId="12" borderId="0" xfId="0" applyNumberFormat="1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center" vertical="center" wrapText="1"/>
    </xf>
    <xf numFmtId="0" fontId="16" fillId="14" borderId="4" xfId="0" applyNumberFormat="1" applyFont="1" applyFill="1" applyBorder="1" applyAlignment="1">
      <alignment horizontal="left" vertical="center" wrapText="1"/>
    </xf>
    <xf numFmtId="164" fontId="16" fillId="14" borderId="0" xfId="0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center" vertical="center"/>
    </xf>
    <xf numFmtId="0" fontId="1" fillId="8" borderId="0" xfId="0" applyNumberFormat="1" applyFont="1" applyFill="1" applyBorder="1" applyAlignment="1">
      <alignment horizontal="center" vertical="center"/>
    </xf>
    <xf numFmtId="0" fontId="11" fillId="0" borderId="10" xfId="3"/>
    <xf numFmtId="0" fontId="24" fillId="0" borderId="10" xfId="3" applyFont="1" applyAlignment="1">
      <alignment vertical="center"/>
    </xf>
    <xf numFmtId="0" fontId="20" fillId="0" borderId="10" xfId="3" applyFont="1" applyAlignment="1">
      <alignment vertical="center"/>
    </xf>
    <xf numFmtId="0" fontId="25" fillId="19" borderId="10" xfId="3" applyFont="1" applyFill="1" applyAlignment="1">
      <alignment vertical="center" wrapText="1"/>
    </xf>
    <xf numFmtId="4" fontId="23" fillId="12" borderId="10" xfId="3" applyNumberFormat="1" applyFont="1" applyFill="1" applyAlignment="1">
      <alignment horizontal="right" vertical="center" wrapText="1"/>
    </xf>
    <xf numFmtId="0" fontId="23" fillId="12" borderId="10" xfId="3" applyFont="1" applyFill="1" applyAlignment="1">
      <alignment horizontal="center" vertical="center" wrapText="1"/>
    </xf>
    <xf numFmtId="0" fontId="23" fillId="12" borderId="10" xfId="3" applyFont="1" applyFill="1" applyAlignment="1">
      <alignment vertical="center" wrapText="1"/>
    </xf>
    <xf numFmtId="167" fontId="22" fillId="15" borderId="10" xfId="3" applyNumberFormat="1" applyFont="1" applyFill="1" applyAlignment="1">
      <alignment horizontal="right" vertical="center" wrapText="1"/>
    </xf>
    <xf numFmtId="0" fontId="22" fillId="15" borderId="10" xfId="3" applyFont="1" applyFill="1" applyAlignment="1">
      <alignment horizontal="center" vertical="center" wrapText="1"/>
    </xf>
    <xf numFmtId="0" fontId="22" fillId="15" borderId="10" xfId="3" applyFont="1" applyFill="1" applyAlignment="1">
      <alignment vertical="center" wrapText="1"/>
    </xf>
    <xf numFmtId="167" fontId="22" fillId="16" borderId="10" xfId="3" applyNumberFormat="1" applyFont="1" applyFill="1" applyAlignment="1">
      <alignment horizontal="right" vertical="center" wrapText="1"/>
    </xf>
    <xf numFmtId="0" fontId="22" fillId="16" borderId="10" xfId="3" applyFont="1" applyFill="1" applyAlignment="1">
      <alignment horizontal="center" vertical="center" wrapText="1"/>
    </xf>
    <xf numFmtId="0" fontId="22" fillId="16" borderId="10" xfId="3" applyFont="1" applyFill="1" applyAlignment="1">
      <alignment vertical="center" wrapText="1"/>
    </xf>
    <xf numFmtId="167" fontId="21" fillId="15" borderId="10" xfId="3" applyNumberFormat="1" applyFont="1" applyFill="1" applyAlignment="1">
      <alignment horizontal="right" vertical="center" wrapText="1"/>
    </xf>
    <xf numFmtId="0" fontId="21" fillId="15" borderId="10" xfId="3" applyFont="1" applyFill="1" applyAlignment="1">
      <alignment horizontal="center" vertical="center" wrapText="1"/>
    </xf>
    <xf numFmtId="0" fontId="21" fillId="15" borderId="10" xfId="3" applyFont="1" applyFill="1" applyAlignment="1">
      <alignment vertical="center" wrapText="1"/>
    </xf>
    <xf numFmtId="167" fontId="21" fillId="7" borderId="10" xfId="3" applyNumberFormat="1" applyFont="1" applyFill="1" applyAlignment="1">
      <alignment horizontal="right" vertical="center" wrapText="1"/>
    </xf>
    <xf numFmtId="0" fontId="21" fillId="7" borderId="10" xfId="3" applyFont="1" applyFill="1" applyAlignment="1">
      <alignment horizontal="center" vertical="center" wrapText="1"/>
    </xf>
    <xf numFmtId="0" fontId="21" fillId="7" borderId="10" xfId="3" applyFont="1" applyFill="1" applyAlignment="1">
      <alignment vertical="center" wrapText="1"/>
    </xf>
    <xf numFmtId="0" fontId="16" fillId="13" borderId="10" xfId="3" applyFont="1" applyFill="1" applyAlignment="1">
      <alignment horizontal="center" vertical="center"/>
    </xf>
    <xf numFmtId="0" fontId="19" fillId="7" borderId="10" xfId="3" applyFont="1" applyFill="1" applyAlignment="1">
      <alignment horizontal="center" vertical="center" wrapText="1"/>
    </xf>
    <xf numFmtId="0" fontId="18" fillId="12" borderId="10" xfId="3" applyFont="1" applyFill="1" applyAlignment="1">
      <alignment horizontal="center" vertical="center"/>
    </xf>
  </cellXfs>
  <cellStyles count="4">
    <cellStyle name="Moneda" xfId="2" builtinId="4"/>
    <cellStyle name="Normal" xfId="0" builtinId="0"/>
    <cellStyle name="Normal 2" xfId="3" xr:uid="{AEDE0908-A56D-4582-8E1F-11566D504155}"/>
    <cellStyle name="Porcentaje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nnethram\Desktop\Presupuesto_SIRCOVA_con_resumen_de_costos.xlsx" TargetMode="External"/><Relationship Id="rId1" Type="http://schemas.openxmlformats.org/officeDocument/2006/relationships/externalLinkPath" Target="Presupuesto_SIRCOVA_con_resumen_de_cos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supuesto"/>
      <sheetName val="Financiamiento"/>
    </sheetNames>
    <sheetDataSet>
      <sheetData sheetId="0">
        <row r="13">
          <cell r="C13">
            <v>1320</v>
          </cell>
        </row>
        <row r="14">
          <cell r="C14">
            <v>20</v>
          </cell>
        </row>
        <row r="19">
          <cell r="C19">
            <v>2250</v>
          </cell>
        </row>
        <row r="22">
          <cell r="C22">
            <v>56000</v>
          </cell>
        </row>
        <row r="23">
          <cell r="C23">
            <v>59570</v>
          </cell>
        </row>
        <row r="24">
          <cell r="C24">
            <v>535.5</v>
          </cell>
        </row>
        <row r="25">
          <cell r="C25">
            <v>60105.5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topLeftCell="A13" workbookViewId="0">
      <selection activeCell="F24" sqref="F24"/>
    </sheetView>
  </sheetViews>
  <sheetFormatPr baseColWidth="10" defaultColWidth="8.796875" defaultRowHeight="13.8"/>
  <cols>
    <col min="1" max="1" width="72" customWidth="1"/>
    <col min="2" max="2" width="18.3984375" customWidth="1"/>
    <col min="3" max="3" width="10.5" customWidth="1"/>
    <col min="4" max="4" width="2" customWidth="1"/>
  </cols>
  <sheetData>
    <row r="1" spans="1:4" ht="24" customHeight="1">
      <c r="A1" s="61" t="s">
        <v>0</v>
      </c>
      <c r="B1" s="61"/>
      <c r="C1" s="61"/>
      <c r="D1" s="15"/>
    </row>
    <row r="2" spans="1:4" ht="24.6" customHeight="1">
      <c r="A2" s="62" t="s">
        <v>1</v>
      </c>
      <c r="B2" s="62"/>
      <c r="C2" s="62"/>
      <c r="D2" s="16"/>
    </row>
    <row r="3" spans="1:4">
      <c r="A3" s="25"/>
      <c r="B3" s="25"/>
      <c r="C3" s="25"/>
    </row>
    <row r="4" spans="1:4" ht="33" customHeight="1">
      <c r="A4" s="26" t="s">
        <v>10</v>
      </c>
      <c r="B4" s="27" t="s">
        <v>11</v>
      </c>
      <c r="C4" s="27" t="s">
        <v>12</v>
      </c>
      <c r="D4" s="1"/>
    </row>
    <row r="5" spans="1:4" ht="19.95" customHeight="1">
      <c r="A5" s="63" t="s">
        <v>2</v>
      </c>
      <c r="B5" s="51"/>
      <c r="C5" s="64"/>
      <c r="D5" s="17"/>
    </row>
    <row r="6" spans="1:4" ht="36.75" customHeight="1">
      <c r="A6" s="23" t="s">
        <v>27</v>
      </c>
      <c r="B6" s="24" t="s">
        <v>13</v>
      </c>
      <c r="C6" s="45">
        <v>120</v>
      </c>
      <c r="D6" s="2"/>
    </row>
    <row r="7" spans="1:4" ht="36.75" customHeight="1">
      <c r="A7" s="28" t="s">
        <v>28</v>
      </c>
      <c r="B7" s="29" t="s">
        <v>13</v>
      </c>
      <c r="C7" s="46">
        <v>1200</v>
      </c>
      <c r="D7" s="3"/>
    </row>
    <row r="8" spans="1:4" ht="36.75" customHeight="1">
      <c r="A8" s="23" t="s">
        <v>29</v>
      </c>
      <c r="B8" s="24" t="s">
        <v>14</v>
      </c>
      <c r="C8" s="45">
        <v>0</v>
      </c>
      <c r="D8" s="2"/>
    </row>
    <row r="9" spans="1:4" ht="36.75" customHeight="1">
      <c r="A9" s="28" t="s">
        <v>30</v>
      </c>
      <c r="B9" s="29" t="s">
        <v>15</v>
      </c>
      <c r="C9" s="46">
        <v>0</v>
      </c>
      <c r="D9" s="3"/>
    </row>
    <row r="10" spans="1:4" ht="36.75" customHeight="1">
      <c r="A10" s="23" t="s">
        <v>31</v>
      </c>
      <c r="B10" s="24" t="s">
        <v>16</v>
      </c>
      <c r="C10" s="45">
        <v>0</v>
      </c>
      <c r="D10" s="2"/>
    </row>
    <row r="11" spans="1:4" ht="36.75" customHeight="1">
      <c r="A11" s="28" t="s">
        <v>32</v>
      </c>
      <c r="B11" s="29" t="s">
        <v>16</v>
      </c>
      <c r="C11" s="46">
        <v>0</v>
      </c>
      <c r="D11" s="3"/>
    </row>
    <row r="12" spans="1:4" ht="36.75" customHeight="1">
      <c r="A12" s="23" t="s">
        <v>33</v>
      </c>
      <c r="B12" s="24" t="s">
        <v>36</v>
      </c>
      <c r="C12" s="43">
        <v>20</v>
      </c>
      <c r="D12" s="2"/>
    </row>
    <row r="13" spans="1:4" ht="22.35" customHeight="1">
      <c r="A13" s="34" t="s">
        <v>34</v>
      </c>
      <c r="B13" s="35"/>
      <c r="C13" s="47">
        <f>SUM(C6:D11)</f>
        <v>1320</v>
      </c>
      <c r="D13" s="4"/>
    </row>
    <row r="14" spans="1:4" ht="19.95" customHeight="1">
      <c r="A14" s="34" t="s">
        <v>35</v>
      </c>
      <c r="B14" s="37"/>
      <c r="C14" s="44">
        <f>C12</f>
        <v>20</v>
      </c>
      <c r="D14" s="21"/>
    </row>
    <row r="15" spans="1:4" ht="31.8" customHeight="1">
      <c r="A15" s="63" t="s">
        <v>17</v>
      </c>
      <c r="B15" s="52"/>
      <c r="C15" s="53"/>
      <c r="D15" s="17"/>
    </row>
    <row r="16" spans="1:4" ht="42.6" customHeight="1">
      <c r="A16" s="23" t="s">
        <v>37</v>
      </c>
      <c r="B16" s="24" t="s">
        <v>16</v>
      </c>
      <c r="C16" s="45">
        <v>150</v>
      </c>
      <c r="D16" s="2"/>
    </row>
    <row r="17" spans="1:4" ht="36.75" customHeight="1">
      <c r="A17" s="55" t="s">
        <v>38</v>
      </c>
      <c r="B17" s="56" t="s">
        <v>18</v>
      </c>
      <c r="C17" s="46">
        <v>900</v>
      </c>
      <c r="D17" s="3"/>
    </row>
    <row r="18" spans="1:4" ht="40.200000000000003" customHeight="1">
      <c r="A18" s="57" t="s">
        <v>39</v>
      </c>
      <c r="B18" s="58" t="s">
        <v>19</v>
      </c>
      <c r="C18" s="45">
        <v>1200</v>
      </c>
      <c r="D18" s="2"/>
    </row>
    <row r="19" spans="1:4" ht="19.95" customHeight="1">
      <c r="A19" s="59" t="s">
        <v>20</v>
      </c>
      <c r="B19" s="60"/>
      <c r="C19" s="38">
        <f>SUM(C16:C18)</f>
        <v>2250</v>
      </c>
      <c r="D19" s="5"/>
    </row>
    <row r="20" spans="1:4" ht="42" customHeight="1">
      <c r="A20" s="51" t="s">
        <v>41</v>
      </c>
      <c r="B20" s="52"/>
      <c r="C20" s="53"/>
      <c r="D20" s="13"/>
    </row>
    <row r="21" spans="1:4" ht="52.8" customHeight="1">
      <c r="A21" s="29" t="s">
        <v>42</v>
      </c>
      <c r="B21" s="29" t="s">
        <v>22</v>
      </c>
      <c r="C21" s="30">
        <v>56000</v>
      </c>
      <c r="D21" s="30"/>
    </row>
    <row r="22" spans="1:4" ht="22.35" customHeight="1">
      <c r="A22" s="39" t="s">
        <v>23</v>
      </c>
      <c r="B22" s="35"/>
      <c r="C22" s="36">
        <f>C21</f>
        <v>56000</v>
      </c>
      <c r="D22" s="6"/>
    </row>
    <row r="23" spans="1:4" s="20" customFormat="1" ht="22.35" customHeight="1">
      <c r="A23" s="51"/>
      <c r="B23" s="52"/>
      <c r="C23" s="53"/>
      <c r="D23" s="13"/>
    </row>
    <row r="24" spans="1:4" ht="36.75" customHeight="1">
      <c r="A24" s="39" t="s">
        <v>24</v>
      </c>
      <c r="B24" s="35"/>
      <c r="C24" s="36">
        <f>C13+C19+C22</f>
        <v>59570</v>
      </c>
      <c r="D24" s="6"/>
    </row>
    <row r="25" spans="1:4" ht="30" customHeight="1">
      <c r="A25" s="31" t="s">
        <v>40</v>
      </c>
      <c r="B25" s="32" t="s">
        <v>25</v>
      </c>
      <c r="C25" s="33">
        <f>(C13+C19)*15%</f>
        <v>535.5</v>
      </c>
      <c r="D25" s="33"/>
    </row>
    <row r="26" spans="1:4" ht="21" customHeight="1">
      <c r="A26" s="40" t="s">
        <v>26</v>
      </c>
      <c r="B26" s="41"/>
      <c r="C26" s="42">
        <f>C24+C25</f>
        <v>60105.5</v>
      </c>
      <c r="D26" s="7"/>
    </row>
    <row r="27" spans="1:4" ht="13.95" customHeight="1">
      <c r="A27" s="25"/>
      <c r="B27" s="25"/>
      <c r="C27" s="25"/>
    </row>
    <row r="28" spans="1:4">
      <c r="A28" s="54"/>
      <c r="B28" s="54"/>
      <c r="C28" s="54"/>
      <c r="D28" s="14"/>
    </row>
  </sheetData>
  <mergeCells count="10">
    <mergeCell ref="A1:C1"/>
    <mergeCell ref="A2:C2"/>
    <mergeCell ref="A5:C5"/>
    <mergeCell ref="A15:C15"/>
    <mergeCell ref="A23:C23"/>
    <mergeCell ref="A20:C20"/>
    <mergeCell ref="A28:C28"/>
    <mergeCell ref="A17:B17"/>
    <mergeCell ref="A18:B18"/>
    <mergeCell ref="A19:B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pane ySplit="4" topLeftCell="A6" activePane="bottomLeft" state="frozen"/>
      <selection pane="bottomLeft" activeCell="B8" sqref="B8"/>
    </sheetView>
  </sheetViews>
  <sheetFormatPr baseColWidth="10" defaultColWidth="8.796875" defaultRowHeight="13.8"/>
  <cols>
    <col min="1" max="1" width="26" customWidth="1"/>
    <col min="2" max="2" width="28" customWidth="1"/>
    <col min="3" max="3" width="23.5" customWidth="1"/>
    <col min="4" max="4" width="20" customWidth="1"/>
    <col min="5" max="5" width="16" customWidth="1"/>
  </cols>
  <sheetData>
    <row r="1" spans="1:5" ht="30" customHeight="1">
      <c r="A1" s="66" t="s">
        <v>3</v>
      </c>
      <c r="B1" s="66"/>
      <c r="C1" s="66"/>
      <c r="D1" s="20"/>
      <c r="E1" s="20"/>
    </row>
    <row r="2" spans="1:5" ht="25.95" customHeight="1">
      <c r="A2" s="65"/>
      <c r="B2" s="65"/>
      <c r="C2" s="65"/>
      <c r="D2" s="65"/>
      <c r="E2" s="65"/>
    </row>
    <row r="3" spans="1:5" ht="13.8" customHeight="1">
      <c r="A3" s="48" t="s">
        <v>5</v>
      </c>
      <c r="B3" s="48" t="s">
        <v>4</v>
      </c>
      <c r="C3" s="8" t="s">
        <v>6</v>
      </c>
    </row>
    <row r="4" spans="1:5" ht="54.6" customHeight="1">
      <c r="A4" s="12" t="s">
        <v>2</v>
      </c>
      <c r="B4" s="49" t="s">
        <v>7</v>
      </c>
      <c r="C4" s="47">
        <v>1320</v>
      </c>
    </row>
    <row r="5" spans="1:5" ht="65.400000000000006" customHeight="1">
      <c r="A5" s="11" t="s">
        <v>17</v>
      </c>
      <c r="B5" s="22" t="s">
        <v>7</v>
      </c>
      <c r="C5" s="50">
        <v>2250</v>
      </c>
    </row>
    <row r="6" spans="1:5" ht="72" customHeight="1">
      <c r="A6" s="12" t="s">
        <v>21</v>
      </c>
      <c r="B6" s="49" t="s">
        <v>7</v>
      </c>
      <c r="C6" s="47">
        <v>56000</v>
      </c>
    </row>
    <row r="7" spans="1:5" ht="54" customHeight="1">
      <c r="A7" s="9" t="s">
        <v>8</v>
      </c>
      <c r="B7" s="9"/>
      <c r="C7" s="10">
        <f>SUM(C4:C6)</f>
        <v>59570</v>
      </c>
    </row>
    <row r="8" spans="1:5" ht="41.4" customHeight="1">
      <c r="A8" s="19" t="s">
        <v>9</v>
      </c>
      <c r="B8" s="20"/>
      <c r="C8" s="20"/>
      <c r="D8" s="20"/>
      <c r="E8" s="20"/>
    </row>
    <row r="9" spans="1:5" ht="30" customHeight="1"/>
    <row r="10" spans="1:5" ht="24" customHeight="1">
      <c r="A10" s="18"/>
      <c r="B10" s="18"/>
      <c r="C10" s="18"/>
      <c r="D10" s="18"/>
      <c r="E10" s="18"/>
    </row>
    <row r="11" spans="1:5">
      <c r="A11" s="18"/>
      <c r="B11" s="18"/>
      <c r="C11" s="18"/>
      <c r="D11" s="18"/>
      <c r="E11" s="18"/>
    </row>
    <row r="12" spans="1:5" ht="24" customHeight="1">
      <c r="A12" s="18"/>
      <c r="B12" s="18"/>
      <c r="C12" s="18"/>
      <c r="D12" s="18"/>
      <c r="E12" s="18"/>
    </row>
    <row r="13" spans="1:5" ht="24" customHeight="1">
      <c r="A13" s="18"/>
      <c r="B13" s="18"/>
      <c r="C13" s="18"/>
      <c r="D13" s="18"/>
      <c r="E13" s="18"/>
    </row>
    <row r="14" spans="1:5" ht="24" customHeight="1"/>
    <row r="15" spans="1:5" ht="24" customHeight="1"/>
  </sheetData>
  <mergeCells count="2">
    <mergeCell ref="A2:E2"/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454F9-468A-4344-9824-DB3CC92ED6F4}">
  <dimension ref="A1:C16"/>
  <sheetViews>
    <sheetView tabSelected="1" workbookViewId="0">
      <selection activeCell="D11" sqref="D11"/>
    </sheetView>
  </sheetViews>
  <sheetFormatPr baseColWidth="10" defaultColWidth="8.796875" defaultRowHeight="13.8"/>
  <cols>
    <col min="1" max="1" width="78" style="67" customWidth="1"/>
    <col min="2" max="2" width="14" style="67" customWidth="1"/>
    <col min="3" max="3" width="23" style="67" customWidth="1"/>
    <col min="4" max="16384" width="8.796875" style="67"/>
  </cols>
  <sheetData>
    <row r="1" spans="1:3" ht="33.6" customHeight="1">
      <c r="A1" s="88" t="s">
        <v>43</v>
      </c>
      <c r="B1" s="88"/>
      <c r="C1" s="88"/>
    </row>
    <row r="2" spans="1:3" ht="27.15" customHeight="1">
      <c r="A2" s="87" t="s">
        <v>44</v>
      </c>
      <c r="B2" s="87"/>
      <c r="C2" s="87"/>
    </row>
    <row r="3" spans="1:3" ht="10.35" customHeight="1">
      <c r="A3" s="69"/>
      <c r="B3" s="69"/>
      <c r="C3" s="69"/>
    </row>
    <row r="4" spans="1:3" ht="24.75" customHeight="1">
      <c r="A4" s="86" t="s">
        <v>45</v>
      </c>
      <c r="B4" s="86" t="s">
        <v>46</v>
      </c>
      <c r="C4" s="86" t="s">
        <v>47</v>
      </c>
    </row>
    <row r="5" spans="1:3" ht="25.65" customHeight="1">
      <c r="A5" s="85" t="s">
        <v>34</v>
      </c>
      <c r="B5" s="84" t="s">
        <v>48</v>
      </c>
      <c r="C5" s="83">
        <f>[1]Presupuesto!C13</f>
        <v>1320</v>
      </c>
    </row>
    <row r="6" spans="1:3" ht="25.65" customHeight="1">
      <c r="A6" s="82" t="s">
        <v>35</v>
      </c>
      <c r="B6" s="81" t="s">
        <v>49</v>
      </c>
      <c r="C6" s="80">
        <f>[1]Presupuesto!C14</f>
        <v>20</v>
      </c>
    </row>
    <row r="7" spans="1:3" ht="25.65" customHeight="1">
      <c r="A7" s="85" t="s">
        <v>20</v>
      </c>
      <c r="B7" s="84" t="s">
        <v>48</v>
      </c>
      <c r="C7" s="83">
        <f>[1]Presupuesto!C19</f>
        <v>2250</v>
      </c>
    </row>
    <row r="8" spans="1:3" ht="25.65" customHeight="1">
      <c r="A8" s="82" t="s">
        <v>23</v>
      </c>
      <c r="B8" s="81" t="s">
        <v>48</v>
      </c>
      <c r="C8" s="80">
        <f>[1]Presupuesto!C22</f>
        <v>56000</v>
      </c>
    </row>
    <row r="9" spans="1:3" ht="25.65" customHeight="1">
      <c r="A9" s="79" t="s">
        <v>24</v>
      </c>
      <c r="B9" s="78" t="s">
        <v>48</v>
      </c>
      <c r="C9" s="77">
        <f>[1]Presupuesto!C23</f>
        <v>59570</v>
      </c>
    </row>
    <row r="10" spans="1:3" ht="28.8" customHeight="1">
      <c r="A10" s="76" t="s">
        <v>50</v>
      </c>
      <c r="B10" s="75" t="s">
        <v>48</v>
      </c>
      <c r="C10" s="74">
        <f>[1]Presupuesto!C24</f>
        <v>535.5</v>
      </c>
    </row>
    <row r="11" spans="1:3" ht="29.55" customHeight="1">
      <c r="A11" s="73" t="s">
        <v>26</v>
      </c>
      <c r="B11" s="72" t="s">
        <v>48</v>
      </c>
      <c r="C11" s="71">
        <f>[1]Presupuesto!C25</f>
        <v>60105.5</v>
      </c>
    </row>
    <row r="12" spans="1:3" ht="11.25" customHeight="1">
      <c r="A12" s="69"/>
      <c r="B12" s="69"/>
      <c r="C12" s="69"/>
    </row>
    <row r="13" spans="1:3" ht="20.85" customHeight="1">
      <c r="A13" s="70" t="s">
        <v>52</v>
      </c>
      <c r="B13" s="70"/>
      <c r="C13" s="70"/>
    </row>
    <row r="14" spans="1:3" ht="20.85" customHeight="1">
      <c r="A14" s="70"/>
      <c r="B14" s="70"/>
      <c r="C14" s="70"/>
    </row>
    <row r="15" spans="1:3" ht="21.6" customHeight="1">
      <c r="A15" s="69"/>
      <c r="B15" s="69"/>
      <c r="C15" s="69"/>
    </row>
    <row r="16" spans="1:3" ht="18.45" customHeight="1">
      <c r="A16" s="68" t="s">
        <v>51</v>
      </c>
      <c r="B16" s="68"/>
      <c r="C16" s="68"/>
    </row>
  </sheetData>
  <mergeCells count="4">
    <mergeCell ref="A1:C1"/>
    <mergeCell ref="A2:C2"/>
    <mergeCell ref="A13:C14"/>
    <mergeCell ref="A16:C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Presupuesto</vt:lpstr>
      <vt:lpstr>Financiamiento</vt:lpstr>
      <vt:lpstr>Resumen de costos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Kenneth Ramirez</cp:lastModifiedBy>
  <dcterms:modified xsi:type="dcterms:W3CDTF">2026-10-20T01:53:16Z</dcterms:modified>
</cp:coreProperties>
</file>