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nnethram\Documents\GitHub\PropuestaProyectoDeCarrera\excels\"/>
    </mc:Choice>
  </mc:AlternateContent>
  <xr:revisionPtr revIDLastSave="0" documentId="13_ncr:1_{7676E1F8-9DF9-4852-A835-8EFE6683D3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esupuesto" sheetId="1" r:id="rId1"/>
    <sheet name="Financiami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E6" i="2"/>
  <c r="C21" i="1"/>
  <c r="D5" i="2" s="1"/>
  <c r="C18" i="1"/>
  <c r="C13" i="1"/>
  <c r="C22" i="1" l="1"/>
  <c r="C23" i="1"/>
  <c r="C24" i="1" s="1"/>
  <c r="D7" i="2" l="1"/>
  <c r="E5" i="2" s="1"/>
  <c r="D4" i="2"/>
  <c r="E4" i="2" l="1"/>
</calcChain>
</file>

<file path=xl/sharedStrings.xml><?xml version="1.0" encoding="utf-8"?>
<sst xmlns="http://schemas.openxmlformats.org/spreadsheetml/2006/main" count="72" uniqueCount="64">
  <si>
    <t>PRESUPUESTO ESTIMADO DEL PROYECTO</t>
  </si>
  <si>
    <t>Sistema web para gestión, validación y análisis de la producción de vacunación — DDRISS San Marcos | Universidad Mesoamericana 2026</t>
  </si>
  <si>
    <t>Producto / Recurso</t>
  </si>
  <si>
    <t>Cantidad / Unidad</t>
  </si>
  <si>
    <t>Estimación (GTQ)</t>
  </si>
  <si>
    <t>Supuestos, notas y financiamiento</t>
  </si>
  <si>
    <t>Infraestructura y recursos tecnológicos</t>
  </si>
  <si>
    <t>Dominio web</t>
  </si>
  <si>
    <t>12 meses</t>
  </si>
  <si>
    <t>Nombre del sitio para acceder al sistema web.</t>
  </si>
  <si>
    <t>Alojamiento web o servidor en la nube</t>
  </si>
  <si>
    <t>Servidor para el sistema web, API, MySQL, MongoDB y contenedores Docker. Sujeto a validación de capacidad.</t>
  </si>
  <si>
    <t>Certificado SSL</t>
  </si>
  <si>
    <t>1 unidad</t>
  </si>
  <si>
    <t>Puede utilizarse una opción gratuita mediante el proveedor o un certificado gratuito.</t>
  </si>
  <si>
    <t>Persistencia de datos (MySQL + MongoDB)</t>
  </si>
  <si>
    <t>Incluida</t>
  </si>
  <si>
    <t>Ambos motores pueden utilizarse mediante software libre y alojarse en la infraestructura del proyecto.</t>
  </si>
  <si>
    <t>Herramientas de desarrollo</t>
  </si>
  <si>
    <t>Global</t>
  </si>
  <si>
    <t>React, Node.js, Express.js, Docker, Git/GitHub y herramientas gratuitas o académicas.</t>
  </si>
  <si>
    <t>Visualización, mapas y análisis</t>
  </si>
  <si>
    <t>Leaflet, GeoJSON y librerías de gráficos compatibles con React, sin costo de licencia para el alcance planteado.</t>
  </si>
  <si>
    <t>Diseño de interfaz y prototipos</t>
  </si>
  <si>
    <t>Realizado por el equipo de proyecto mediante herramientas gratuitas o académicas.</t>
  </si>
  <si>
    <t>Subtotal de infraestructura y recursos tecnológicos</t>
  </si>
  <si>
    <t>Suma de los recursos tecnológicos e infraestructura requeridos por el proyecto.</t>
  </si>
  <si>
    <t>Insumos operativos y actividades de implementación</t>
  </si>
  <si>
    <t>Material de capacitación</t>
  </si>
  <si>
    <t>Guías impresas o material de apoyo para los usuarios.</t>
  </si>
  <si>
    <t>Transporte y validación con usuarios</t>
  </si>
  <si>
    <t>Visitas para levantamiento, revisión, pruebas, validación y capacitación.</t>
  </si>
  <si>
    <t>Documentación técnica y manual de usuario</t>
  </si>
  <si>
    <t>Impresiones o preparación de documentos finales.</t>
  </si>
  <si>
    <t>Subtotal de insumos operativos y actividades de implementación</t>
  </si>
  <si>
    <t>Suma de los costos operativos y de apoyo requeridos para la implementación.</t>
  </si>
  <si>
    <t>Talento humano</t>
  </si>
  <si>
    <t>Recurso humano de desarrollo</t>
  </si>
  <si>
    <t>140 hrs × 4 integrantes</t>
  </si>
  <si>
    <t>Aporte valorizado del equipo. Tarifa de referencia Q100/h por persona; horas ajustadas al alcance ampliado.</t>
  </si>
  <si>
    <t>Subtotal de talento humano</t>
  </si>
  <si>
    <t>Valor estimado del tiempo aportado por el equipo responsable del desarrollo.</t>
  </si>
  <si>
    <t>Subtotal (sin contingencia)</t>
  </si>
  <si>
    <t>Incluye el valor estimado del recurso humano aportado por el equipo.</t>
  </si>
  <si>
    <t>Contingencia</t>
  </si>
  <si>
    <t>15 % de los costos desembolsables, excluyendo el recurso humano valorizado.</t>
  </si>
  <si>
    <t>COSTO TOTAL ESTIMADO DEL PROYECTO</t>
  </si>
  <si>
    <t>Estimación base para el desarrollo e implementación inicial durante 12 meses.</t>
  </si>
  <si>
    <t>Fuente: Los autores mediante Microsoft Excel</t>
  </si>
  <si>
    <t>FORMA DE FINANCIAMIENTO DEL PROYECTO</t>
  </si>
  <si>
    <t>Fuente de financiamiento</t>
  </si>
  <si>
    <t>Tipo de aporte</t>
  </si>
  <si>
    <t>Descripción</t>
  </si>
  <si>
    <t>Monto estimado (GTQ)</t>
  </si>
  <si>
    <t>Participación</t>
  </si>
  <si>
    <t>Integrantes del proyecto</t>
  </si>
  <si>
    <t>Aporte monetario</t>
  </si>
  <si>
    <t>Recursos destinados a cubrir dominio, alojamiento, capacitación, transporte, documentación y contingencia. El monto será sufragado por los cuatro integrantes en partes iguales.</t>
  </si>
  <si>
    <t>Aporte valorizado de talento humano</t>
  </si>
  <si>
    <t>Valor estimado del trabajo realizado por los cuatro integrantes durante el análisis, diseño, desarrollo, pruebas, implementación y documentación del sistema web. No representa un desembolso económico.</t>
  </si>
  <si>
    <t>Herramientas y recursos tecnológicos gratuitos</t>
  </si>
  <si>
    <t>Recurso sin desembolso</t>
  </si>
  <si>
    <t>Tecnologías, bibliotecas y herramientas de desarrollo utilizadas sin costo de adquisición o licenciamiento.</t>
  </si>
  <si>
    <t>TOTAL ESTIMADO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</si>
</sst>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Q&quot;#,##0.00"/>
  </numFmts>
  <fonts count="12">
    <font>
      <sz val="11"/>
      <name val="Carlito"/>
    </font>
    <font>
      <b/>
      <sz val="14"/>
      <color rgb="FFFFFFFF"/>
      <name val="Carlito"/>
    </font>
    <font>
      <i/>
      <sz val="10"/>
      <color rgb="FF666666"/>
      <name val="Carlito"/>
    </font>
    <font>
      <b/>
      <sz val="10"/>
      <color rgb="FFFFFFFF"/>
      <name val="Carlito"/>
    </font>
    <font>
      <b/>
      <sz val="11"/>
      <color rgb="FFFFFFFF"/>
      <name val="Carlito"/>
    </font>
    <font>
      <i/>
      <sz val="10"/>
      <color rgb="FF3F5576"/>
      <name val="Carlito"/>
    </font>
    <font>
      <sz val="11"/>
      <color rgb="FF1F1F1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i/>
      <sz val="9"/>
      <color rgb="FF2F5687"/>
      <name val="Carlito"/>
    </font>
    <font>
      <i/>
      <sz val="10"/>
      <color rgb="FF1F1F1F"/>
      <name val="Carlito"/>
    </font>
    <font>
      <sz val="11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244673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D9E2F3"/>
      </patternFill>
    </fill>
    <fill>
      <patternFill patternType="solid">
        <fgColor rgb="FFEAF0F8"/>
      </patternFill>
    </fill>
    <fill>
      <patternFill patternType="solid">
        <fgColor rgb="FFFFFFFF"/>
      </patternFill>
    </fill>
    <fill>
      <patternFill patternType="solid">
        <fgColor rgb="FF2F5687"/>
      </patternFill>
    </fill>
    <fill>
      <patternFill patternType="solid">
        <fgColor rgb="FF4472C4"/>
      </patternFill>
    </fill>
    <fill>
      <patternFill patternType="solid">
        <fgColor rgb="FFEAF0F8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thin">
        <color rgb="FFB8C3D5"/>
      </left>
      <right/>
      <top style="thin">
        <color rgb="FFB8C3D5"/>
      </top>
      <bottom/>
      <diagonal/>
    </border>
    <border>
      <left/>
      <right/>
      <top style="thin">
        <color rgb="FFB8C3D5"/>
      </top>
      <bottom/>
      <diagonal/>
    </border>
    <border>
      <left/>
      <right style="thin">
        <color rgb="FFB8C3D5"/>
      </right>
      <top style="thin">
        <color rgb="FFB8C3D5"/>
      </top>
      <bottom/>
      <diagonal/>
    </border>
    <border>
      <left style="thin">
        <color rgb="FFB8C3D5"/>
      </left>
      <right/>
      <top/>
      <bottom/>
      <diagonal/>
    </border>
    <border>
      <left/>
      <right style="thin">
        <color rgb="FFB8C3D5"/>
      </right>
      <top/>
      <bottom/>
      <diagonal/>
    </border>
    <border>
      <left style="thin">
        <color rgb="FFB8C3D5"/>
      </left>
      <right/>
      <top/>
      <bottom style="thin">
        <color rgb="FFB8C3D5"/>
      </bottom>
      <diagonal/>
    </border>
    <border>
      <left/>
      <right/>
      <top/>
      <bottom style="thin">
        <color rgb="FFB8C3D5"/>
      </bottom>
      <diagonal/>
    </border>
    <border>
      <left/>
      <right style="thin">
        <color rgb="FFB8C3D5"/>
      </right>
      <top/>
      <bottom style="thin">
        <color rgb="FFB8C3D5"/>
      </bottom>
      <diagonal/>
    </border>
    <border>
      <left/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8">
    <xf numFmtId="0" fontId="0" fillId="0" borderId="0" xfId="0"/>
    <xf numFmtId="0" fontId="3" fillId="3" borderId="1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left" vertical="center" wrapText="1"/>
    </xf>
    <xf numFmtId="0" fontId="6" fillId="7" borderId="0" xfId="0" applyNumberFormat="1" applyFont="1" applyFill="1" applyBorder="1" applyAlignment="1">
      <alignment horizontal="center" vertical="center" wrapText="1"/>
    </xf>
    <xf numFmtId="0" fontId="6" fillId="7" borderId="5" xfId="0" applyNumberFormat="1" applyFont="1" applyFill="1" applyBorder="1" applyAlignment="1">
      <alignment horizontal="left" vertical="center" wrapText="1"/>
    </xf>
    <xf numFmtId="0" fontId="6" fillId="5" borderId="4" xfId="0" applyNumberFormat="1" applyFont="1" applyFill="1" applyBorder="1" applyAlignment="1">
      <alignment horizontal="left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0" fontId="6" fillId="5" borderId="5" xfId="0" applyNumberFormat="1" applyFont="1" applyFill="1" applyBorder="1" applyAlignment="1">
      <alignment horizontal="left" vertical="center" wrapText="1"/>
    </xf>
    <xf numFmtId="0" fontId="7" fillId="6" borderId="4" xfId="0" applyNumberFormat="1" applyFont="1" applyFill="1" applyBorder="1" applyAlignment="1">
      <alignment horizontal="left" vertical="center" wrapText="1"/>
    </xf>
    <xf numFmtId="0" fontId="7" fillId="6" borderId="0" xfId="0" applyNumberFormat="1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horizontal="left" vertical="center" wrapText="1"/>
    </xf>
    <xf numFmtId="0" fontId="7" fillId="6" borderId="8" xfId="0" applyNumberFormat="1" applyFont="1" applyFill="1" applyBorder="1" applyAlignment="1">
      <alignment horizontal="left" vertical="center" wrapText="1"/>
    </xf>
    <xf numFmtId="0" fontId="7" fillId="6" borderId="0" xfId="0" applyNumberFormat="1" applyFont="1" applyFill="1" applyBorder="1" applyAlignment="1">
      <alignment vertical="center" wrapText="1"/>
    </xf>
    <xf numFmtId="0" fontId="7" fillId="7" borderId="0" xfId="0" applyNumberFormat="1" applyFont="1" applyFill="1" applyBorder="1" applyAlignment="1">
      <alignment vertical="center" wrapText="1"/>
    </xf>
    <xf numFmtId="0" fontId="7" fillId="7" borderId="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horizontal="center" vertical="center" wrapText="1"/>
    </xf>
    <xf numFmtId="164" fontId="6" fillId="7" borderId="0" xfId="0" applyNumberFormat="1" applyFont="1" applyFill="1" applyBorder="1" applyAlignment="1">
      <alignment horizontal="right" vertical="center" wrapText="1"/>
    </xf>
    <xf numFmtId="164" fontId="6" fillId="5" borderId="0" xfId="0" applyNumberFormat="1" applyFont="1" applyFill="1" applyBorder="1" applyAlignment="1">
      <alignment horizontal="right" vertical="center" wrapText="1"/>
    </xf>
    <xf numFmtId="164" fontId="7" fillId="6" borderId="0" xfId="0" applyNumberFormat="1" applyFont="1" applyFill="1" applyBorder="1" applyAlignment="1">
      <alignment horizontal="right" vertical="center" wrapText="1"/>
    </xf>
    <xf numFmtId="164" fontId="7" fillId="6" borderId="7" xfId="0" applyNumberFormat="1" applyFont="1" applyFill="1" applyBorder="1" applyAlignment="1">
      <alignment horizontal="right" vertical="center" wrapText="1"/>
    </xf>
    <xf numFmtId="164" fontId="7" fillId="7" borderId="0" xfId="0" applyNumberFormat="1" applyFont="1" applyFill="1" applyBorder="1" applyAlignment="1">
      <alignment horizontal="right" vertical="center" wrapText="1"/>
    </xf>
    <xf numFmtId="164" fontId="8" fillId="2" borderId="0" xfId="0" applyNumberFormat="1" applyFont="1" applyFill="1" applyBorder="1" applyAlignment="1">
      <alignment horizontal="right" vertical="center" wrapText="1"/>
    </xf>
    <xf numFmtId="0" fontId="4" fillId="9" borderId="0" xfId="0" applyNumberFormat="1" applyFont="1" applyFill="1" applyBorder="1" applyAlignment="1">
      <alignment horizontal="center" vertical="center" wrapText="1"/>
    </xf>
    <xf numFmtId="0" fontId="4" fillId="8" borderId="0" xfId="0" applyNumberFormat="1" applyFont="1" applyFill="1" applyBorder="1" applyAlignment="1">
      <alignment vertical="center" wrapText="1"/>
    </xf>
    <xf numFmtId="164" fontId="4" fillId="8" borderId="0" xfId="0" applyNumberFormat="1" applyFont="1" applyFill="1" applyBorder="1" applyAlignment="1">
      <alignment horizontal="right" vertical="center" wrapText="1"/>
    </xf>
    <xf numFmtId="9" fontId="4" fillId="8" borderId="0" xfId="0" applyNumberFormat="1" applyFont="1" applyFill="1" applyBorder="1" applyAlignment="1">
      <alignment horizontal="right" vertical="center" wrapText="1"/>
    </xf>
    <xf numFmtId="0" fontId="6" fillId="7" borderId="4" xfId="0" applyNumberFormat="1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11" borderId="4" xfId="0" applyNumberFormat="1" applyFont="1" applyFill="1" applyBorder="1" applyAlignment="1">
      <alignment horizontal="left" vertical="center" wrapText="1"/>
    </xf>
    <xf numFmtId="0" fontId="6" fillId="11" borderId="4" xfId="0" applyNumberFormat="1" applyFont="1" applyFill="1" applyBorder="1" applyAlignment="1">
      <alignment horizontal="center" vertical="center" wrapText="1"/>
    </xf>
    <xf numFmtId="0" fontId="6" fillId="11" borderId="5" xfId="0" applyNumberFormat="1" applyFont="1" applyFill="1" applyBorder="1" applyAlignment="1">
      <alignment horizontal="left" vertical="center" wrapText="1"/>
    </xf>
    <xf numFmtId="0" fontId="6" fillId="11" borderId="9" xfId="0" applyNumberFormat="1" applyFont="1" applyFill="1" applyBorder="1" applyAlignment="1">
      <alignment horizontal="left" vertical="center" wrapText="1"/>
    </xf>
    <xf numFmtId="0" fontId="6" fillId="11" borderId="9" xfId="0" applyNumberFormat="1" applyFont="1" applyFill="1" applyBorder="1" applyAlignment="1">
      <alignment horizontal="center" vertical="center" wrapText="1"/>
    </xf>
    <xf numFmtId="9" fontId="6" fillId="11" borderId="9" xfId="1" applyFont="1" applyFill="1" applyBorder="1" applyAlignment="1">
      <alignment horizontal="center" vertical="center" wrapText="1"/>
    </xf>
    <xf numFmtId="9" fontId="6" fillId="7" borderId="4" xfId="1" applyFont="1" applyFill="1" applyBorder="1" applyAlignment="1">
      <alignment horizontal="center" vertical="center" wrapText="1"/>
    </xf>
    <xf numFmtId="0" fontId="4" fillId="4" borderId="0" xfId="0" applyNumberFormat="1" applyFont="1" applyFill="1" applyBorder="1" applyAlignment="1">
      <alignment horizontal="left"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164" fontId="4" fillId="4" borderId="0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left" vertical="center" wrapText="1"/>
    </xf>
    <xf numFmtId="0" fontId="6" fillId="5" borderId="0" xfId="0" applyNumberFormat="1" applyFon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left" vertical="center" wrapText="1"/>
    </xf>
    <xf numFmtId="0" fontId="6" fillId="7" borderId="0" xfId="0" applyNumberFormat="1" applyFont="1" applyFill="1" applyBorder="1" applyAlignment="1">
      <alignment horizontal="center" vertical="center" wrapText="1"/>
    </xf>
    <xf numFmtId="0" fontId="7" fillId="6" borderId="6" xfId="0" applyNumberFormat="1" applyFont="1" applyFill="1" applyBorder="1" applyAlignment="1">
      <alignment horizontal="left" vertical="center" wrapText="1"/>
    </xf>
    <xf numFmtId="0" fontId="7" fillId="6" borderId="7" xfId="0" applyNumberFormat="1" applyFont="1" applyFill="1" applyBorder="1" applyAlignment="1">
      <alignment horizontal="center" vertical="center" wrapText="1"/>
    </xf>
    <xf numFmtId="0" fontId="4" fillId="4" borderId="4" xfId="0" applyNumberFormat="1" applyFont="1" applyFill="1" applyBorder="1" applyAlignment="1">
      <alignment horizontal="left" vertical="center" wrapText="1"/>
    </xf>
    <xf numFmtId="164" fontId="4" fillId="4" borderId="0" xfId="0" applyNumberFormat="1" applyFont="1" applyFill="1" applyBorder="1" applyAlignment="1">
      <alignment horizontal="left" vertical="center" wrapText="1"/>
    </xf>
    <xf numFmtId="0" fontId="4" fillId="4" borderId="5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0" fillId="1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horizontal="center"/>
    </xf>
    <xf numFmtId="0" fontId="0" fillId="0" borderId="0" xfId="0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D9E2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5" sqref="A5:D5"/>
    </sheetView>
  </sheetViews>
  <sheetFormatPr baseColWidth="10" defaultColWidth="8.796875" defaultRowHeight="13.8"/>
  <cols>
    <col min="1" max="1" width="33.8984375" customWidth="1"/>
    <col min="2" max="2" width="13.69921875" customWidth="1"/>
    <col min="3" max="3" width="12.69921875" customWidth="1"/>
    <col min="4" max="4" width="46.296875" customWidth="1"/>
  </cols>
  <sheetData>
    <row r="1" spans="1:4" ht="24" customHeight="1">
      <c r="A1" s="42" t="s">
        <v>0</v>
      </c>
      <c r="B1" s="42"/>
      <c r="C1" s="42"/>
      <c r="D1" s="42"/>
    </row>
    <row r="2" spans="1:4" ht="22.35" customHeight="1">
      <c r="A2" s="43" t="s">
        <v>1</v>
      </c>
      <c r="B2" s="43"/>
      <c r="C2" s="43"/>
      <c r="D2" s="43"/>
    </row>
    <row r="4" spans="1:4" ht="27" customHeight="1">
      <c r="A4" s="1" t="s">
        <v>2</v>
      </c>
      <c r="B4" s="2" t="s">
        <v>3</v>
      </c>
      <c r="C4" s="2" t="s">
        <v>4</v>
      </c>
      <c r="D4" s="3" t="s">
        <v>5</v>
      </c>
    </row>
    <row r="5" spans="1:4" ht="17.55" customHeight="1">
      <c r="A5" s="50" t="s">
        <v>6</v>
      </c>
      <c r="B5" s="38"/>
      <c r="C5" s="51"/>
      <c r="D5" s="52"/>
    </row>
    <row r="6" spans="1:4" ht="24" customHeight="1">
      <c r="A6" s="4" t="s">
        <v>7</v>
      </c>
      <c r="B6" s="5" t="s">
        <v>8</v>
      </c>
      <c r="C6" s="19">
        <v>120</v>
      </c>
      <c r="D6" s="6" t="s">
        <v>9</v>
      </c>
    </row>
    <row r="7" spans="1:4" ht="33.6" customHeight="1">
      <c r="A7" s="7" t="s">
        <v>10</v>
      </c>
      <c r="B7" s="8" t="s">
        <v>8</v>
      </c>
      <c r="C7" s="20">
        <v>1200</v>
      </c>
      <c r="D7" s="9" t="s">
        <v>11</v>
      </c>
    </row>
    <row r="8" spans="1:4" ht="24" customHeight="1">
      <c r="A8" s="4" t="s">
        <v>12</v>
      </c>
      <c r="B8" s="5" t="s">
        <v>13</v>
      </c>
      <c r="C8" s="19">
        <v>0</v>
      </c>
      <c r="D8" s="6" t="s">
        <v>14</v>
      </c>
    </row>
    <row r="9" spans="1:4" ht="33.6" customHeight="1">
      <c r="A9" s="7" t="s">
        <v>15</v>
      </c>
      <c r="B9" s="8" t="s">
        <v>16</v>
      </c>
      <c r="C9" s="20">
        <v>0</v>
      </c>
      <c r="D9" s="9" t="s">
        <v>17</v>
      </c>
    </row>
    <row r="10" spans="1:4" ht="33.6" customHeight="1">
      <c r="A10" s="4" t="s">
        <v>18</v>
      </c>
      <c r="B10" s="5" t="s">
        <v>19</v>
      </c>
      <c r="C10" s="19">
        <v>0</v>
      </c>
      <c r="D10" s="6" t="s">
        <v>20</v>
      </c>
    </row>
    <row r="11" spans="1:4" ht="33.6" customHeight="1">
      <c r="A11" s="7" t="s">
        <v>21</v>
      </c>
      <c r="B11" s="8" t="s">
        <v>19</v>
      </c>
      <c r="C11" s="20">
        <v>0</v>
      </c>
      <c r="D11" s="9" t="s">
        <v>22</v>
      </c>
    </row>
    <row r="12" spans="1:4" ht="24" customHeight="1">
      <c r="A12" s="4" t="s">
        <v>23</v>
      </c>
      <c r="B12" s="5" t="s">
        <v>19</v>
      </c>
      <c r="C12" s="19">
        <v>0</v>
      </c>
      <c r="D12" s="6" t="s">
        <v>24</v>
      </c>
    </row>
    <row r="13" spans="1:4" ht="31.8" customHeight="1">
      <c r="A13" s="10" t="s">
        <v>25</v>
      </c>
      <c r="B13" s="11"/>
      <c r="C13" s="21">
        <f>SUM(C6:C12)</f>
        <v>1320</v>
      </c>
      <c r="D13" s="12" t="s">
        <v>26</v>
      </c>
    </row>
    <row r="14" spans="1:4" ht="22.35" customHeight="1">
      <c r="A14" s="50" t="s">
        <v>27</v>
      </c>
      <c r="B14" s="39"/>
      <c r="C14" s="40"/>
      <c r="D14" s="52"/>
    </row>
    <row r="15" spans="1:4" ht="24" customHeight="1">
      <c r="A15" s="4" t="s">
        <v>28</v>
      </c>
      <c r="B15" s="5" t="s">
        <v>19</v>
      </c>
      <c r="C15" s="19">
        <v>150</v>
      </c>
      <c r="D15" s="6" t="s">
        <v>29</v>
      </c>
    </row>
    <row r="16" spans="1:4" ht="33.6" customHeight="1">
      <c r="A16" s="44" t="s">
        <v>30</v>
      </c>
      <c r="B16" s="45" t="s">
        <v>19</v>
      </c>
      <c r="C16" s="20">
        <v>300</v>
      </c>
      <c r="D16" s="9" t="s">
        <v>31</v>
      </c>
    </row>
    <row r="17" spans="1:4" ht="24" customHeight="1">
      <c r="A17" s="46" t="s">
        <v>32</v>
      </c>
      <c r="B17" s="47" t="s">
        <v>19</v>
      </c>
      <c r="C17" s="19">
        <v>1000</v>
      </c>
      <c r="D17" s="6" t="s">
        <v>33</v>
      </c>
    </row>
    <row r="18" spans="1:4" ht="33.6" customHeight="1">
      <c r="A18" s="48" t="s">
        <v>34</v>
      </c>
      <c r="B18" s="49"/>
      <c r="C18" s="22">
        <f>SUM(C15:C17)</f>
        <v>1450</v>
      </c>
      <c r="D18" s="13" t="s">
        <v>35</v>
      </c>
    </row>
    <row r="19" spans="1:4" ht="22.35" customHeight="1">
      <c r="A19" s="38" t="s">
        <v>36</v>
      </c>
      <c r="B19" s="39"/>
      <c r="C19" s="40"/>
      <c r="D19" s="38"/>
    </row>
    <row r="20" spans="1:4" ht="33.6" customHeight="1">
      <c r="A20" s="5" t="s">
        <v>37</v>
      </c>
      <c r="B20" s="5" t="s">
        <v>38</v>
      </c>
      <c r="C20" s="19">
        <v>56000</v>
      </c>
      <c r="D20" s="5" t="s">
        <v>39</v>
      </c>
    </row>
    <row r="21" spans="1:4" ht="24" customHeight="1">
      <c r="A21" s="14" t="s">
        <v>40</v>
      </c>
      <c r="B21" s="11"/>
      <c r="C21" s="21">
        <f>C20</f>
        <v>56000</v>
      </c>
      <c r="D21" s="14" t="s">
        <v>41</v>
      </c>
    </row>
    <row r="22" spans="1:4" ht="24" customHeight="1">
      <c r="A22" s="14" t="s">
        <v>42</v>
      </c>
      <c r="B22" s="11"/>
      <c r="C22" s="21">
        <f>SUM(C13,C18,C21)</f>
        <v>58770</v>
      </c>
      <c r="D22" s="14" t="s">
        <v>43</v>
      </c>
    </row>
    <row r="23" spans="1:4" ht="24" customHeight="1">
      <c r="A23" s="15" t="s">
        <v>44</v>
      </c>
      <c r="B23" s="16"/>
      <c r="C23" s="23">
        <f>15%*(C13+C18)</f>
        <v>415.5</v>
      </c>
      <c r="D23" s="15" t="s">
        <v>45</v>
      </c>
    </row>
    <row r="24" spans="1:4" ht="33.6" customHeight="1">
      <c r="A24" s="17" t="s">
        <v>46</v>
      </c>
      <c r="B24" s="18"/>
      <c r="C24" s="24">
        <f>C22+C23</f>
        <v>59185.5</v>
      </c>
      <c r="D24" s="17" t="s">
        <v>47</v>
      </c>
    </row>
    <row r="25" spans="1:4" ht="7.95" customHeight="1"/>
    <row r="26" spans="1:4" ht="17.55" customHeight="1">
      <c r="A26" s="41" t="s">
        <v>48</v>
      </c>
      <c r="B26" s="41"/>
      <c r="C26" s="41"/>
      <c r="D26" s="41"/>
    </row>
    <row r="28" spans="1:4">
      <c r="D28">
        <v>3</v>
      </c>
    </row>
  </sheetData>
  <mergeCells count="9">
    <mergeCell ref="A19:D19"/>
    <mergeCell ref="A26:D26"/>
    <mergeCell ref="A1:D1"/>
    <mergeCell ref="A2:D2"/>
    <mergeCell ref="A16:B16"/>
    <mergeCell ref="A17:B17"/>
    <mergeCell ref="A18:B18"/>
    <mergeCell ref="A5:D5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zoomScale="98" zoomScaleNormal="70" workbookViewId="0">
      <pane ySplit="4" topLeftCell="A6" activePane="bottomLeft" state="frozen"/>
      <selection pane="bottomLeft" activeCell="F5" sqref="F5"/>
    </sheetView>
  </sheetViews>
  <sheetFormatPr baseColWidth="10" defaultColWidth="8.796875" defaultRowHeight="13.8"/>
  <cols>
    <col min="1" max="1" width="26" customWidth="1"/>
    <col min="2" max="2" width="28" customWidth="1"/>
    <col min="3" max="3" width="55" customWidth="1"/>
    <col min="4" max="4" width="20" customWidth="1"/>
    <col min="5" max="5" width="16" customWidth="1"/>
  </cols>
  <sheetData>
    <row r="1" spans="1:5" ht="30" customHeight="1">
      <c r="A1" s="53" t="s">
        <v>49</v>
      </c>
      <c r="B1" s="53"/>
      <c r="C1" s="53"/>
      <c r="D1" s="53"/>
      <c r="E1" s="53"/>
    </row>
    <row r="2" spans="1:5" ht="25.95" customHeight="1">
      <c r="A2" s="54"/>
      <c r="B2" s="54"/>
      <c r="C2" s="54"/>
      <c r="D2" s="54"/>
      <c r="E2" s="54"/>
    </row>
    <row r="3" spans="1:5" ht="27.6">
      <c r="A3" s="25" t="s">
        <v>50</v>
      </c>
      <c r="B3" s="25" t="s">
        <v>51</v>
      </c>
      <c r="C3" s="25" t="s">
        <v>52</v>
      </c>
      <c r="D3" s="25" t="s">
        <v>53</v>
      </c>
      <c r="E3" s="25" t="s">
        <v>54</v>
      </c>
    </row>
    <row r="4" spans="1:5" ht="54.6" customHeight="1">
      <c r="A4" s="34" t="s">
        <v>55</v>
      </c>
      <c r="B4" s="35" t="s">
        <v>56</v>
      </c>
      <c r="C4" s="34" t="s">
        <v>57</v>
      </c>
      <c r="D4" s="30">
        <f>Presupuesto!C24-Presupuesto!C21</f>
        <v>3185.5</v>
      </c>
      <c r="E4" s="36">
        <f>D4/$D$7</f>
        <v>5.382230444956957E-2</v>
      </c>
    </row>
    <row r="5" spans="1:5" ht="65.400000000000006" customHeight="1">
      <c r="A5" s="4" t="s">
        <v>55</v>
      </c>
      <c r="B5" s="29" t="s">
        <v>58</v>
      </c>
      <c r="C5" s="6" t="s">
        <v>59</v>
      </c>
      <c r="D5" s="29">
        <f>Presupuesto!C21</f>
        <v>56000</v>
      </c>
      <c r="E5" s="37">
        <f>D5/$D$7</f>
        <v>0.94617769555043041</v>
      </c>
    </row>
    <row r="6" spans="1:5" ht="72" customHeight="1">
      <c r="A6" s="31" t="s">
        <v>60</v>
      </c>
      <c r="B6" s="32" t="s">
        <v>61</v>
      </c>
      <c r="C6" s="33" t="s">
        <v>62</v>
      </c>
      <c r="D6" s="32">
        <v>0</v>
      </c>
      <c r="E6" s="32">
        <f>0</f>
        <v>0</v>
      </c>
    </row>
    <row r="7" spans="1:5" ht="54" customHeight="1">
      <c r="A7" s="26" t="s">
        <v>63</v>
      </c>
      <c r="B7" s="26"/>
      <c r="C7" s="26"/>
      <c r="D7" s="27">
        <f>Presupuesto!C24</f>
        <v>59185.5</v>
      </c>
      <c r="E7" s="28">
        <f>1</f>
        <v>1</v>
      </c>
    </row>
    <row r="8" spans="1:5" ht="41.4" customHeight="1">
      <c r="A8" s="56" t="s">
        <v>48</v>
      </c>
      <c r="B8" s="57"/>
      <c r="C8" s="57"/>
      <c r="D8" s="57"/>
      <c r="E8" s="57"/>
    </row>
    <row r="9" spans="1:5" ht="30" customHeight="1"/>
    <row r="10" spans="1:5" ht="24" customHeight="1">
      <c r="A10" s="55"/>
      <c r="B10" s="55"/>
      <c r="C10" s="55"/>
      <c r="D10" s="55"/>
      <c r="E10" s="55"/>
    </row>
    <row r="11" spans="1:5">
      <c r="A11" s="55"/>
      <c r="B11" s="55"/>
      <c r="C11" s="55"/>
      <c r="D11" s="55"/>
      <c r="E11" s="55"/>
    </row>
    <row r="12" spans="1:5" ht="24" customHeight="1">
      <c r="A12" s="55"/>
      <c r="B12" s="55"/>
      <c r="C12" s="55"/>
      <c r="D12" s="55"/>
      <c r="E12" s="55"/>
    </row>
    <row r="13" spans="1:5" ht="24" customHeight="1">
      <c r="A13" s="55"/>
      <c r="B13" s="55"/>
      <c r="C13" s="55"/>
      <c r="D13" s="55"/>
      <c r="E13" s="55"/>
    </row>
    <row r="14" spans="1:5" ht="24" customHeight="1"/>
    <row r="15" spans="1:5" ht="24" customHeight="1"/>
  </sheetData>
  <mergeCells count="4">
    <mergeCell ref="A1:E1"/>
    <mergeCell ref="A2:E2"/>
    <mergeCell ref="A10:E13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Financiamiento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Ramirez</cp:lastModifiedBy>
  <dcterms:modified xsi:type="dcterms:W3CDTF">2026-10-08T21:29:50Z</dcterms:modified>
</cp:coreProperties>
</file>