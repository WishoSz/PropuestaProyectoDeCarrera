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nnethram\Desktop\"/>
    </mc:Choice>
  </mc:AlternateContent>
  <xr:revisionPtr revIDLastSave="0" documentId="13_ncr:1_{58604E16-83FB-4042-A416-CC989889D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3" i="1"/>
  <c r="C15" i="1"/>
  <c r="D21" i="1"/>
  <c r="C16" i="1" l="1"/>
</calcChain>
</file>

<file path=xl/sharedStrings.xml><?xml version="1.0" encoding="utf-8"?>
<sst xmlns="http://schemas.openxmlformats.org/spreadsheetml/2006/main" count="62" uniqueCount="58">
  <si>
    <t>PRESUPUESTO ESTIMADO DEL PROYECTO</t>
  </si>
  <si>
    <t>Sistema Web para Registro, Control y Seguimiento de Proyectos y Ejecución Presupuestaria de ANAPDE — Universidad Mesoamericana 2026</t>
  </si>
  <si>
    <t>Producto / Recurso</t>
  </si>
  <si>
    <t>Cantidad / Unidad</t>
  </si>
  <si>
    <t>Estimación (GTQ)</t>
  </si>
  <si>
    <t>Supuestos, notas y financiamiento</t>
  </si>
  <si>
    <t>Dominio web</t>
  </si>
  <si>
    <t>2 años</t>
  </si>
  <si>
    <t>Nombre del sitio para acceder al sistema.</t>
  </si>
  <si>
    <t>Alojamiento web o servidor en la nube</t>
  </si>
  <si>
    <t>1 año</t>
  </si>
  <si>
    <t>Estimación para fase inicial de pruebas e implementación.</t>
  </si>
  <si>
    <t>Certificado SSL</t>
  </si>
  <si>
    <t>1 unidad</t>
  </si>
  <si>
    <t>Puede utilizarse una opción gratuita.</t>
  </si>
  <si>
    <t>Base de datos</t>
  </si>
  <si>
    <t>Incluida</t>
  </si>
  <si>
    <t>Se considera incluida en el servidor o mediante software libre.</t>
  </si>
  <si>
    <t>Herramientas de desarrollo</t>
  </si>
  <si>
    <t>Global</t>
  </si>
  <si>
    <t>Uso de herramientas gratuitas o académicas.</t>
  </si>
  <si>
    <t>Diseño de interfaz y prototipos</t>
  </si>
  <si>
    <t>Realizado por el equipo de proyecto.</t>
  </si>
  <si>
    <t>Material de capacitación</t>
  </si>
  <si>
    <t>Guías impresas o material de apoyo para usuarios.</t>
  </si>
  <si>
    <t>Transporte y validación con usuarios</t>
  </si>
  <si>
    <t>4 viajes ida/vuelta</t>
  </si>
  <si>
    <t>Quetzaltenango–Totonicapán. Supuesto: 60 km por viaje ida/vuelta, Yaris 2020 1.5 L ≈ 15 km/L y gasolina a Q42.00/galón.</t>
  </si>
  <si>
    <t>Documentación técnica y manual de usuario</t>
  </si>
  <si>
    <t>Impresiones o preparación de documentos finales.</t>
  </si>
  <si>
    <t>Recurso humano de desarrollo</t>
  </si>
  <si>
    <t>Donación académica del equipo. Tarifa de referencia Q100/hora por persona.</t>
  </si>
  <si>
    <t>Subtotal (sin contingencia)</t>
  </si>
  <si>
    <t>Suma de todos los recursos estimados.</t>
  </si>
  <si>
    <t>Contingencia</t>
  </si>
  <si>
    <t>5% aproximado</t>
  </si>
  <si>
    <t>Margen para variaciones menores de costo.</t>
  </si>
  <si>
    <t>COSTO TOTAL ESTIMADO DEL PROYECTO</t>
  </si>
  <si>
    <t>Estimación base para implementación inicial.</t>
  </si>
  <si>
    <t>CÁLCULO DEL TRANSPORTE A TOTONICAPÁN</t>
  </si>
  <si>
    <t>Variable</t>
  </si>
  <si>
    <t>Valor</t>
  </si>
  <si>
    <t>Unidad</t>
  </si>
  <si>
    <t>Cálculo / nota</t>
  </si>
  <si>
    <t>Distancia estimada por trayecto</t>
  </si>
  <si>
    <t>km</t>
  </si>
  <si>
    <t>Quetzaltenango → Totonicapán</t>
  </si>
  <si>
    <t>Distancia ida y vuelta</t>
  </si>
  <si>
    <t>Número de viajes</t>
  </si>
  <si>
    <t>viajes</t>
  </si>
  <si>
    <t>Visitas de levantamiento, revisión y validación</t>
  </si>
  <si>
    <t>Rendimiento estimado Yaris 2020 1.5 L</t>
  </si>
  <si>
    <t>km/L</t>
  </si>
  <si>
    <t>Supuesto conservador para carretera</t>
  </si>
  <si>
    <t>Precio de gasolina</t>
  </si>
  <si>
    <t>Q/galón</t>
  </si>
  <si>
    <t>Dato proporcionado por el usuario</t>
  </si>
  <si>
    <t>108 hrs × 4 integrantes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</si>
</sst>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Q&quot;#,##0.00;[Red]\-&quot;Q&quot;#,##0.00"/>
    <numFmt numFmtId="165" formatCode="&quot;Q&quot;#,##0.00"/>
  </numFmts>
  <fonts count="8">
    <font>
      <sz val="11"/>
      <name val="Carlito"/>
    </font>
    <font>
      <b/>
      <sz val="18"/>
      <color rgb="FFFFFFFF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sz val="10"/>
      <name val="Carlito"/>
    </font>
    <font>
      <b/>
      <sz val="10"/>
      <name val="Carlito"/>
    </font>
    <font>
      <b/>
      <sz val="12"/>
      <color rgb="FFFFFFFF"/>
      <name val="Carlito"/>
    </font>
    <font>
      <b/>
      <sz val="10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3E73"/>
      </patternFill>
    </fill>
    <fill>
      <patternFill patternType="solid">
        <fgColor rgb="FFFFFFFF"/>
      </patternFill>
    </fill>
    <fill>
      <patternFill patternType="solid">
        <fgColor rgb="FF2E5EAA"/>
      </patternFill>
    </fill>
    <fill>
      <patternFill patternType="solid">
        <fgColor rgb="FFD7E0F0"/>
      </patternFill>
    </fill>
    <fill>
      <patternFill patternType="solid">
        <fgColor rgb="FFE9EEF8"/>
      </patternFill>
    </fill>
    <fill>
      <patternFill patternType="solid">
        <fgColor rgb="FFF5F7F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vertical="center" wrapText="1"/>
    </xf>
    <xf numFmtId="0" fontId="4" fillId="6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vertical="center" wrapText="1"/>
    </xf>
    <xf numFmtId="2" fontId="4" fillId="7" borderId="1" xfId="0" applyNumberFormat="1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vertical="center" wrapText="1"/>
    </xf>
    <xf numFmtId="165" fontId="4" fillId="7" borderId="1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65" zoomScaleNormal="121" workbookViewId="0">
      <selection activeCell="C15" sqref="C15"/>
    </sheetView>
  </sheetViews>
  <sheetFormatPr baseColWidth="10" defaultColWidth="8.796875" defaultRowHeight="13.8"/>
  <cols>
    <col min="1" max="1" width="34" customWidth="1"/>
    <col min="2" max="2" width="21" customWidth="1"/>
    <col min="3" max="3" width="18" customWidth="1"/>
    <col min="4" max="4" width="48" customWidth="1"/>
  </cols>
  <sheetData>
    <row r="1" spans="1:4" ht="22.35" customHeight="1">
      <c r="A1" s="21" t="s">
        <v>0</v>
      </c>
      <c r="B1" s="21"/>
      <c r="C1" s="21"/>
      <c r="D1" s="21"/>
    </row>
    <row r="2" spans="1:4" ht="19.2" customHeight="1">
      <c r="A2" s="22" t="s">
        <v>1</v>
      </c>
      <c r="B2" s="22"/>
      <c r="C2" s="22"/>
      <c r="D2" s="22"/>
    </row>
    <row r="3" spans="1:4" ht="20.85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27.15" customHeight="1">
      <c r="A4" s="2" t="s">
        <v>6</v>
      </c>
      <c r="B4" s="14" t="s">
        <v>7</v>
      </c>
      <c r="C4" s="15">
        <v>240</v>
      </c>
      <c r="D4" s="2" t="s">
        <v>8</v>
      </c>
    </row>
    <row r="5" spans="1:4" ht="27.15" customHeight="1">
      <c r="A5" s="3" t="s">
        <v>9</v>
      </c>
      <c r="B5" s="16" t="s">
        <v>10</v>
      </c>
      <c r="C5" s="17">
        <v>1200</v>
      </c>
      <c r="D5" s="3" t="s">
        <v>11</v>
      </c>
    </row>
    <row r="6" spans="1:4" ht="27.15" customHeight="1">
      <c r="A6" s="2" t="s">
        <v>12</v>
      </c>
      <c r="B6" s="14" t="s">
        <v>13</v>
      </c>
      <c r="C6" s="15">
        <v>0</v>
      </c>
      <c r="D6" s="2" t="s">
        <v>14</v>
      </c>
    </row>
    <row r="7" spans="1:4" ht="27.15" customHeight="1">
      <c r="A7" s="3" t="s">
        <v>15</v>
      </c>
      <c r="B7" s="16" t="s">
        <v>16</v>
      </c>
      <c r="C7" s="17">
        <v>0</v>
      </c>
      <c r="D7" s="3" t="s">
        <v>17</v>
      </c>
    </row>
    <row r="8" spans="1:4" ht="27.15" customHeight="1">
      <c r="A8" s="2" t="s">
        <v>18</v>
      </c>
      <c r="B8" s="14" t="s">
        <v>19</v>
      </c>
      <c r="C8" s="15">
        <v>0</v>
      </c>
      <c r="D8" s="2" t="s">
        <v>20</v>
      </c>
    </row>
    <row r="9" spans="1:4" ht="27.15" customHeight="1">
      <c r="A9" s="3" t="s">
        <v>21</v>
      </c>
      <c r="B9" s="16" t="s">
        <v>19</v>
      </c>
      <c r="C9" s="17">
        <v>0</v>
      </c>
      <c r="D9" s="3" t="s">
        <v>22</v>
      </c>
    </row>
    <row r="10" spans="1:4" ht="27.15" customHeight="1">
      <c r="A10" s="2" t="s">
        <v>23</v>
      </c>
      <c r="B10" s="14" t="s">
        <v>19</v>
      </c>
      <c r="C10" s="15">
        <v>150</v>
      </c>
      <c r="D10" s="2" t="s">
        <v>24</v>
      </c>
    </row>
    <row r="11" spans="1:4" ht="27.15" customHeight="1">
      <c r="A11" s="3" t="s">
        <v>25</v>
      </c>
      <c r="B11" s="16" t="s">
        <v>26</v>
      </c>
      <c r="C11" s="17">
        <v>177.52</v>
      </c>
      <c r="D11" s="3" t="s">
        <v>27</v>
      </c>
    </row>
    <row r="12" spans="1:4" ht="27.15" customHeight="1">
      <c r="A12" s="2" t="s">
        <v>28</v>
      </c>
      <c r="B12" s="14" t="s">
        <v>19</v>
      </c>
      <c r="C12" s="15">
        <v>100</v>
      </c>
      <c r="D12" s="2" t="s">
        <v>29</v>
      </c>
    </row>
    <row r="13" spans="1:4" ht="27.15" customHeight="1">
      <c r="A13" s="3" t="s">
        <v>30</v>
      </c>
      <c r="B13" s="16" t="s">
        <v>57</v>
      </c>
      <c r="C13" s="17">
        <f>(108*100)*4</f>
        <v>43200</v>
      </c>
      <c r="D13" s="3" t="s">
        <v>31</v>
      </c>
    </row>
    <row r="14" spans="1:4" ht="22.35" customHeight="1">
      <c r="A14" s="23" t="s">
        <v>32</v>
      </c>
      <c r="B14" s="23"/>
      <c r="C14" s="18">
        <f>SUM(C4:C13)</f>
        <v>45067.519999999997</v>
      </c>
      <c r="D14" s="4" t="s">
        <v>33</v>
      </c>
    </row>
    <row r="15" spans="1:4" ht="22.35" customHeight="1">
      <c r="A15" s="19" t="s">
        <v>34</v>
      </c>
      <c r="B15" s="19" t="s">
        <v>35</v>
      </c>
      <c r="C15" s="20">
        <f>C14*5%</f>
        <v>2253.3759999999997</v>
      </c>
      <c r="D15" s="5" t="s">
        <v>36</v>
      </c>
    </row>
    <row r="16" spans="1:4" ht="22.35" customHeight="1">
      <c r="A16" s="24" t="s">
        <v>37</v>
      </c>
      <c r="B16" s="24"/>
      <c r="C16" s="7">
        <f>C14+C15</f>
        <v>47320.895999999993</v>
      </c>
      <c r="D16" s="6" t="s">
        <v>38</v>
      </c>
    </row>
    <row r="18" spans="1:4" ht="20.85" customHeight="1">
      <c r="A18" s="25" t="s">
        <v>39</v>
      </c>
      <c r="B18" s="25"/>
      <c r="C18" s="25"/>
      <c r="D18" s="25"/>
    </row>
    <row r="19" spans="1:4" ht="22.35" customHeight="1">
      <c r="A19" s="8" t="s">
        <v>40</v>
      </c>
      <c r="B19" s="8" t="s">
        <v>41</v>
      </c>
      <c r="C19" s="8" t="s">
        <v>42</v>
      </c>
      <c r="D19" s="8" t="s">
        <v>43</v>
      </c>
    </row>
    <row r="20" spans="1:4" ht="22.35" customHeight="1">
      <c r="A20" s="9" t="s">
        <v>44</v>
      </c>
      <c r="B20" s="10">
        <v>30</v>
      </c>
      <c r="C20" s="9" t="s">
        <v>45</v>
      </c>
      <c r="D20" s="9" t="s">
        <v>46</v>
      </c>
    </row>
    <row r="21" spans="1:4" ht="22.35" customHeight="1">
      <c r="A21" s="5" t="s">
        <v>47</v>
      </c>
      <c r="B21" s="11">
        <v>60</v>
      </c>
      <c r="C21" s="5" t="s">
        <v>45</v>
      </c>
      <c r="D21" s="5">
        <f>B20*2</f>
        <v>60</v>
      </c>
    </row>
    <row r="22" spans="1:4" ht="22.35" customHeight="1">
      <c r="A22" s="9" t="s">
        <v>48</v>
      </c>
      <c r="B22" s="12">
        <v>4</v>
      </c>
      <c r="C22" s="9" t="s">
        <v>49</v>
      </c>
      <c r="D22" s="9" t="s">
        <v>50</v>
      </c>
    </row>
    <row r="23" spans="1:4" ht="22.35" customHeight="1">
      <c r="A23" s="5" t="s">
        <v>51</v>
      </c>
      <c r="B23" s="11">
        <v>15</v>
      </c>
      <c r="C23" s="5" t="s">
        <v>52</v>
      </c>
      <c r="D23" s="5" t="s">
        <v>53</v>
      </c>
    </row>
    <row r="24" spans="1:4" ht="22.35" customHeight="1">
      <c r="A24" s="9" t="s">
        <v>54</v>
      </c>
      <c r="B24" s="13">
        <v>42</v>
      </c>
      <c r="C24" s="9" t="s">
        <v>55</v>
      </c>
      <c r="D24" s="9" t="s">
        <v>56</v>
      </c>
    </row>
  </sheetData>
  <mergeCells count="5">
    <mergeCell ref="A1:D1"/>
    <mergeCell ref="A2:D2"/>
    <mergeCell ref="A14:B14"/>
    <mergeCell ref="A16:B16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García</cp:lastModifiedBy>
  <dcterms:modified xsi:type="dcterms:W3CDTF">2026-08-08T05:03:29Z</dcterms:modified>
</cp:coreProperties>
</file>